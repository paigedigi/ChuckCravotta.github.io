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8"/>
  <workbookPr defaultThemeVersion="124226"/>
  <mc:AlternateContent xmlns:mc="http://schemas.openxmlformats.org/markup-compatibility/2006">
    <mc:Choice Requires="x15">
      <x15ac:absPath xmlns:x15ac="http://schemas.microsoft.com/office/spreadsheetml/2010/11/ac" url="/Users/paigedigirolamo/Documents/GitHub/ChuckCravotta.github.io/static/"/>
    </mc:Choice>
  </mc:AlternateContent>
  <xr:revisionPtr revIDLastSave="0" documentId="13_ncr:1_{0210A05F-FF28-A844-A97D-3C30D235D8B2}" xr6:coauthVersionLast="47" xr6:coauthVersionMax="47" xr10:uidLastSave="{00000000-0000-0000-0000-000000000000}"/>
  <bookViews>
    <workbookView xWindow="940" yWindow="760" windowWidth="15900" windowHeight="14980" xr2:uid="{00000000-000D-0000-FFFF-FFFF00000000}"/>
  </bookViews>
  <sheets>
    <sheet name="CGC_projects" sheetId="21" r:id="rId1"/>
    <sheet name="CGC_news" sheetId="20" r:id="rId2"/>
    <sheet name="Cravotta_biblio2026" sheetId="19" r:id="rId3"/>
    <sheet name="Papers_reports" sheetId="1" r:id="rId4"/>
  </sheets>
  <definedNames>
    <definedName name="OLE_LINK1" localSheetId="3">Papers_reports!$M$73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4" i="20" l="1"/>
  <c r="F44" i="20"/>
  <c r="E44" i="20"/>
  <c r="C44" i="20"/>
  <c r="A44" i="20"/>
  <c r="G43" i="20"/>
  <c r="F43" i="20"/>
  <c r="E43" i="20"/>
  <c r="C43" i="20"/>
  <c r="A43" i="20"/>
  <c r="G42" i="20"/>
  <c r="F42" i="20"/>
  <c r="E42" i="20"/>
  <c r="C42" i="20"/>
  <c r="A42" i="20"/>
  <c r="G41" i="20"/>
  <c r="F41" i="20"/>
  <c r="E41" i="20"/>
  <c r="C41" i="20"/>
  <c r="A41" i="20"/>
  <c r="G40" i="20"/>
  <c r="F40" i="20"/>
  <c r="E40" i="20"/>
  <c r="C40" i="20"/>
  <c r="A40" i="20"/>
  <c r="G39" i="20"/>
  <c r="F39" i="20"/>
  <c r="E39" i="20"/>
  <c r="C39" i="20"/>
  <c r="A39" i="20"/>
  <c r="G38" i="20"/>
  <c r="F38" i="20"/>
  <c r="E38" i="20"/>
  <c r="C38" i="20"/>
  <c r="A38" i="20"/>
  <c r="G37" i="20"/>
  <c r="F37" i="20"/>
  <c r="E37" i="20"/>
  <c r="C37" i="20"/>
  <c r="A37" i="20"/>
  <c r="G36" i="20"/>
  <c r="F36" i="20"/>
  <c r="E36" i="20"/>
  <c r="C36" i="20"/>
  <c r="A36" i="20"/>
  <c r="G35" i="20"/>
  <c r="F35" i="20"/>
  <c r="E35" i="20"/>
  <c r="C35" i="20"/>
  <c r="A35" i="20"/>
  <c r="G34" i="20"/>
  <c r="F34" i="20"/>
  <c r="E34" i="20"/>
  <c r="C34" i="20"/>
  <c r="A34" i="20"/>
  <c r="G33" i="20"/>
  <c r="F33" i="20"/>
  <c r="E33" i="20"/>
  <c r="C33" i="20"/>
  <c r="A33" i="20"/>
  <c r="G32" i="20"/>
  <c r="F32" i="20"/>
  <c r="E32" i="20"/>
  <c r="C32" i="20"/>
  <c r="A32" i="20"/>
  <c r="G31" i="20"/>
  <c r="F31" i="20"/>
  <c r="E31" i="20"/>
  <c r="C31" i="20"/>
  <c r="A31" i="20"/>
  <c r="G30" i="20"/>
  <c r="F30" i="20"/>
  <c r="E30" i="20"/>
  <c r="C30" i="20"/>
  <c r="A30" i="20"/>
  <c r="G29" i="20"/>
  <c r="F29" i="20"/>
  <c r="E29" i="20"/>
  <c r="C29" i="20"/>
  <c r="A29" i="20"/>
  <c r="G28" i="20"/>
  <c r="F28" i="20"/>
  <c r="E28" i="20"/>
  <c r="C28" i="20"/>
  <c r="A28" i="20"/>
  <c r="G27" i="20"/>
  <c r="F27" i="20"/>
  <c r="E27" i="20"/>
  <c r="C27" i="20"/>
  <c r="A27" i="20"/>
  <c r="G26" i="20"/>
  <c r="F26" i="20"/>
  <c r="E26" i="20"/>
  <c r="C26" i="20"/>
  <c r="A26" i="20"/>
  <c r="G25" i="20"/>
  <c r="F25" i="20"/>
  <c r="E25" i="20"/>
  <c r="C25" i="20"/>
  <c r="A25" i="20"/>
  <c r="G24" i="20"/>
  <c r="F24" i="20"/>
  <c r="E24" i="20"/>
  <c r="C24" i="20"/>
  <c r="A24" i="20"/>
  <c r="G23" i="20"/>
  <c r="F23" i="20"/>
  <c r="E23" i="20"/>
  <c r="C23" i="20"/>
  <c r="A23" i="20"/>
  <c r="G22" i="20"/>
  <c r="F22" i="20"/>
  <c r="E22" i="20"/>
  <c r="C22" i="20"/>
  <c r="A22" i="20"/>
  <c r="G21" i="20"/>
  <c r="F21" i="20"/>
  <c r="E21" i="20"/>
  <c r="C21" i="20"/>
  <c r="A21" i="20"/>
  <c r="G20" i="20"/>
  <c r="F20" i="20"/>
  <c r="E20" i="20"/>
  <c r="C20" i="20"/>
  <c r="A20" i="20"/>
  <c r="G19" i="20"/>
  <c r="F19" i="20"/>
  <c r="E19" i="20"/>
  <c r="C19" i="20"/>
  <c r="A19" i="20"/>
  <c r="G18" i="20"/>
  <c r="F18" i="20"/>
  <c r="E18" i="20"/>
  <c r="C18" i="20"/>
  <c r="A18" i="20"/>
  <c r="G17" i="20"/>
  <c r="F17" i="20"/>
  <c r="E17" i="20"/>
  <c r="C17" i="20"/>
  <c r="A17" i="20"/>
  <c r="G16" i="20"/>
  <c r="F16" i="20"/>
  <c r="E16" i="20"/>
  <c r="C16" i="20"/>
  <c r="A16" i="20"/>
  <c r="G15" i="20"/>
  <c r="F15" i="20"/>
  <c r="E15" i="20"/>
  <c r="C15" i="20"/>
  <c r="A15" i="20"/>
  <c r="G14" i="20"/>
  <c r="F14" i="20"/>
  <c r="E14" i="20"/>
  <c r="C14" i="20"/>
  <c r="A14" i="20"/>
  <c r="G13" i="20"/>
  <c r="F13" i="20"/>
  <c r="E13" i="20"/>
  <c r="C13" i="20"/>
  <c r="A13" i="20"/>
  <c r="G12" i="20"/>
  <c r="F12" i="20"/>
  <c r="E12" i="20"/>
  <c r="C12" i="20"/>
  <c r="A12" i="20"/>
  <c r="G11" i="20"/>
  <c r="F11" i="20"/>
  <c r="E11" i="20"/>
  <c r="C11" i="20"/>
  <c r="A11" i="20"/>
  <c r="G10" i="20"/>
  <c r="F10" i="20"/>
  <c r="E10" i="20"/>
  <c r="C10" i="20"/>
  <c r="A10" i="20"/>
  <c r="G9" i="20"/>
  <c r="F9" i="20"/>
  <c r="E9" i="20"/>
  <c r="C9" i="20"/>
  <c r="A9" i="20"/>
  <c r="G8" i="20"/>
  <c r="F8" i="20"/>
  <c r="E8" i="20"/>
  <c r="C8" i="20"/>
  <c r="A8" i="20"/>
  <c r="G7" i="20"/>
  <c r="F7" i="20"/>
  <c r="E7" i="20"/>
  <c r="C7" i="20"/>
  <c r="A7" i="20"/>
  <c r="G6" i="20"/>
  <c r="F6" i="20"/>
  <c r="E6" i="20"/>
  <c r="C6" i="20"/>
  <c r="A6" i="20"/>
  <c r="G5" i="20"/>
  <c r="F5" i="20"/>
  <c r="E5" i="20"/>
  <c r="C5" i="20"/>
  <c r="A5" i="20"/>
  <c r="G4" i="20"/>
  <c r="F4" i="20"/>
  <c r="E4" i="20"/>
  <c r="C4" i="20"/>
  <c r="A4" i="20"/>
  <c r="G3" i="20"/>
  <c r="F3" i="20"/>
  <c r="E3" i="20"/>
  <c r="C3" i="20"/>
  <c r="A3" i="20"/>
  <c r="G2" i="20"/>
  <c r="F2" i="20"/>
  <c r="E2" i="20"/>
  <c r="C2" i="20"/>
  <c r="A2" i="20"/>
  <c r="G135" i="1"/>
  <c r="G134" i="1"/>
  <c r="A134" i="1"/>
  <c r="G133" i="1"/>
  <c r="A133" i="1"/>
  <c r="A132" i="1" s="1"/>
  <c r="A131" i="1" s="1"/>
  <c r="A130" i="1" s="1"/>
  <c r="A129" i="1" s="1"/>
  <c r="A128" i="1" s="1"/>
  <c r="A127" i="1" s="1"/>
  <c r="A126" i="1" s="1"/>
  <c r="A125" i="1" s="1"/>
  <c r="A124" i="1" s="1"/>
  <c r="A123" i="1" s="1"/>
  <c r="A122" i="1" s="1"/>
  <c r="A121" i="1" s="1"/>
  <c r="A120" i="1" s="1"/>
  <c r="A119" i="1" s="1"/>
  <c r="A118" i="1" s="1"/>
  <c r="A117" i="1" s="1"/>
  <c r="A116" i="1" s="1"/>
  <c r="A115" i="1" s="1"/>
  <c r="A114" i="1" s="1"/>
  <c r="A113" i="1" s="1"/>
  <c r="A112" i="1" s="1"/>
  <c r="A111" i="1" s="1"/>
  <c r="A110" i="1" s="1"/>
  <c r="A109" i="1" s="1"/>
  <c r="A108" i="1" s="1"/>
  <c r="A107" i="1" s="1"/>
  <c r="A106" i="1" s="1"/>
  <c r="A105" i="1" s="1"/>
  <c r="A104" i="1" s="1"/>
  <c r="A103" i="1" s="1"/>
  <c r="A102" i="1" s="1"/>
  <c r="A101" i="1" s="1"/>
  <c r="A100" i="1" s="1"/>
  <c r="A99" i="1" s="1"/>
  <c r="A98" i="1" s="1"/>
  <c r="A97" i="1" s="1"/>
  <c r="A96" i="1" s="1"/>
  <c r="A95" i="1" s="1"/>
  <c r="A94" i="1" s="1"/>
  <c r="A93" i="1" s="1"/>
  <c r="A92" i="1" s="1"/>
  <c r="A91" i="1" s="1"/>
  <c r="A90" i="1" s="1"/>
  <c r="A89" i="1" s="1"/>
  <c r="A88" i="1" s="1"/>
  <c r="A87" i="1" s="1"/>
  <c r="A86" i="1" s="1"/>
  <c r="A85" i="1" s="1"/>
  <c r="A84" i="1" s="1"/>
  <c r="A83" i="1" s="1"/>
  <c r="A82" i="1" s="1"/>
  <c r="A81" i="1" s="1"/>
  <c r="A80" i="1" s="1"/>
  <c r="A79" i="1" s="1"/>
  <c r="A78" i="1" s="1"/>
  <c r="A77" i="1" s="1"/>
  <c r="A76" i="1" s="1"/>
  <c r="A75" i="1" s="1"/>
  <c r="A74" i="1" s="1"/>
  <c r="A73" i="1" s="1"/>
  <c r="A72" i="1" s="1"/>
  <c r="A71" i="1" s="1"/>
  <c r="A70" i="1" s="1"/>
  <c r="A69" i="1" s="1"/>
  <c r="A68" i="1" s="1"/>
  <c r="A67" i="1" s="1"/>
  <c r="A66" i="1" s="1"/>
  <c r="A65" i="1" s="1"/>
  <c r="A64" i="1" s="1"/>
  <c r="A63" i="1" s="1"/>
  <c r="A62" i="1" s="1"/>
  <c r="A61" i="1" s="1"/>
  <c r="A60" i="1" s="1"/>
  <c r="A59" i="1" s="1"/>
  <c r="A58" i="1" s="1"/>
  <c r="A57" i="1" s="1"/>
  <c r="A56" i="1" s="1"/>
  <c r="A55" i="1" s="1"/>
  <c r="A54" i="1" s="1"/>
  <c r="A53" i="1" s="1"/>
  <c r="A52" i="1" s="1"/>
  <c r="A51" i="1" s="1"/>
  <c r="A50" i="1" s="1"/>
  <c r="A49" i="1" s="1"/>
  <c r="A48" i="1" s="1"/>
  <c r="A47" i="1" s="1"/>
  <c r="A46" i="1" s="1"/>
  <c r="A45" i="1" s="1"/>
  <c r="A44" i="1" s="1"/>
  <c r="A43" i="1" s="1"/>
  <c r="A42" i="1" s="1"/>
  <c r="A41" i="1" s="1"/>
  <c r="A40" i="1" s="1"/>
  <c r="A39" i="1" s="1"/>
  <c r="A38" i="1" s="1"/>
  <c r="A37" i="1" s="1"/>
  <c r="A36" i="1" s="1"/>
  <c r="A35" i="1" s="1"/>
  <c r="A34" i="1" s="1"/>
  <c r="A33" i="1" s="1"/>
  <c r="A32" i="1" s="1"/>
  <c r="A31" i="1" s="1"/>
  <c r="A30" i="1" s="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A26" i="1"/>
  <c r="G25" i="1"/>
  <c r="A25" i="1"/>
  <c r="G24" i="1"/>
  <c r="A24" i="1"/>
  <c r="A23" i="1" s="1"/>
  <c r="G23" i="1"/>
  <c r="G22" i="1"/>
  <c r="G21" i="1"/>
  <c r="G20" i="1"/>
  <c r="G19" i="1"/>
  <c r="A19" i="1"/>
  <c r="G18" i="1"/>
  <c r="A18" i="1"/>
  <c r="A17" i="1" s="1"/>
  <c r="A16" i="1" s="1"/>
  <c r="A15" i="1" s="1"/>
  <c r="A14" i="1" s="1"/>
  <c r="A13" i="1" s="1"/>
  <c r="A12" i="1" s="1"/>
  <c r="A11" i="1" s="1"/>
  <c r="A10" i="1" s="1"/>
  <c r="A9" i="1" s="1"/>
  <c r="A8" i="1" s="1"/>
  <c r="A7" i="1" s="1"/>
  <c r="A6" i="1" s="1"/>
  <c r="A5" i="1" s="1"/>
  <c r="A4" i="1" s="1"/>
  <c r="A3" i="1" s="1"/>
  <c r="A2" i="1" s="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<sst xmlns="http://schemas.openxmlformats.org/spreadsheetml/2006/main" count="832" uniqueCount="728">
  <si>
    <t>Contributions of phosphorus from groundwater to streams in the Piedmont, Blue Ridge, and Valley and Ridge Physiographic Provinces, Eastern United States</t>
  </si>
  <si>
    <t>International Mine Water Association 2010 Symposium, Sydney, Nova Scotia, Canada.</t>
  </si>
  <si>
    <t>U.S. Geological Survey Scientific Investigations Report 2007-5061, 40 p.</t>
  </si>
  <si>
    <t xml:space="preserve">U.S. Geological Survey Open-File Report 2005-1283, 52 p. </t>
  </si>
  <si>
    <t xml:space="preserve">U.S. Geological Survey Scientific Investigations Report 2004-5291, 60 p., plus 4 appendixes. </t>
  </si>
  <si>
    <t xml:space="preserve">U.S. Geological Survey Open-File Report 2005-1148, 45 p. </t>
  </si>
  <si>
    <t xml:space="preserve">U.S. Geological Survey Water-Resources Investigations Report 03-4311, 58 p. </t>
  </si>
  <si>
    <t>Proceedings 8th National Nonpoint Source Monitoring Workshop: U.S. Environmental Protection Agency EPA/905-R-01-008.</t>
  </si>
  <si>
    <t>Hylko, J.M., and Salyer, R.L., eds., Health Physics Society Proceedings- -Creation and future legacy of stockpile stewardship: Madison, Wisc., Medical Physics Publishing, 215- 220.</t>
  </si>
  <si>
    <t xml:space="preserve">Proceedings 19th Annual Meeting West Virginia Surface Mine Drainage Task Force: Morgantown, W.Va., West Virginia University, 25 p. </t>
  </si>
  <si>
    <t xml:space="preserve">U.S. Geological Survey Water-Supply Paper 2497, 99 p. </t>
  </si>
  <si>
    <t>U.S. Geological Survey Open- File Report 94-510, 103 p.</t>
  </si>
  <si>
    <t>U.S. Geological Survey Open-File Report 93-115, 153 p.</t>
  </si>
  <si>
    <t xml:space="preserve">Proceedings 13th Annual Meeting West Virginia Surface Mine Drainage Task Force: Morgantown, W.Va., West Virginia University, 10 p. </t>
  </si>
  <si>
    <t>http://www.imwa.info/docs/imwa_2010/IMWA2010_CravottaIII_403.pdf</t>
  </si>
  <si>
    <t>http://www.techtransfer.osmre.gov/NTTMainSite/AppliedScience/2005appscience/CompletedProjects/PAKineticTest/Chapters/Chapter%205.pdf</t>
  </si>
  <si>
    <t>http://wvmdtaskforce.com/proceedings/98/98CRA/98CRA.HTM</t>
  </si>
  <si>
    <t>http://pubs.acs.org/doi/pdf/10.1021/bk-1994-0550.ch023</t>
  </si>
  <si>
    <t>http://wvmdtaskforce.com/proceedings/92/92BRA/92BRA.HTM</t>
  </si>
  <si>
    <t>http://www.techtransfer.osmre.gov/NTTMainSite/Library/proceed/asmr91/session2.pdf</t>
  </si>
  <si>
    <t>http://www.techtransfer.osmre.gov/NTTMainSite/Library/proceed/1990Proceed/vol1section7.pdf</t>
  </si>
  <si>
    <t>http://www.ngwa.org/gwol/980663203.aspx</t>
  </si>
  <si>
    <t>http://onlinepubs.er.usgs.gov/djvu/CIR/circ_1108.djvu</t>
  </si>
  <si>
    <t>http://www.techtransfer.osmre.gov/NTTMainSite/Library/proceed/intl1994/vol2part5.pdf</t>
  </si>
  <si>
    <t>http://www.techtransfer.osmre.gov/NTTMainSite/Library/proceed/intl1994/vol1part8.pdf</t>
  </si>
  <si>
    <t>AUTHORS</t>
  </si>
  <si>
    <t>YEAR</t>
  </si>
  <si>
    <t>TITLE</t>
  </si>
  <si>
    <t>PUBLICATION</t>
  </si>
  <si>
    <t>WEB_LINK</t>
  </si>
  <si>
    <t>BIBLIOGRAPHIC_CITATION</t>
  </si>
  <si>
    <t>Net alkalinity and net acidity 1: Theoretical considerations</t>
  </si>
  <si>
    <t>Net alkalinity and net acidity 2: Practical considerations</t>
  </si>
  <si>
    <t>http://pubs.usgs.gov/sir/2010/5176/</t>
  </si>
  <si>
    <t>Water budgets and groundwater volumes for abandoned underground mines in the Western Middle Anthracite Coalfield, Schuylkill, Columbia, and Northumberland Counties, Pennsylvania—Preliminary estimates with identification of data needs</t>
  </si>
  <si>
    <t>http://www.asmr.us/Publications/Conference%20Proceedings/2008/0223-Cravotta-PA.pdf</t>
  </si>
  <si>
    <t>http://www.asmr.us/Publications/Conference%20Proceedings/2006/0378-Cravotta-PA.pdf</t>
  </si>
  <si>
    <t>http://www.asmr.us/Publications/Conference%20Proceedings/2004/0366-Cravotta%20PA-2.pdf</t>
  </si>
  <si>
    <t>http://www.asmr.us/Publications/Conference%20Proceedings/2004/0334-Cravotta%20PA-1.pdf</t>
  </si>
  <si>
    <t>http://www.asmr.us/Publications/Conference%20Proceedings/1996/ASSMR96.pdf</t>
  </si>
  <si>
    <t>http://www.asmr.us/Publications/Conference%20Proceedings/2004/1076-Kirby%20PA.pdf</t>
  </si>
  <si>
    <t>http://www.asmr.us/Publications/Conference%20Proceedings/2002/1062%20Cravotta.pdf</t>
  </si>
  <si>
    <t>http://www.asmr.us/Publications/Conference%20Proceedings/2002/1059%20Cravotta.pdf</t>
  </si>
  <si>
    <t>Dissolved metals and associated constituents in abandoned coal-mine discharges, Pennsylvania, USA--1. Constituent concentrations and correlations</t>
  </si>
  <si>
    <t>http://wvmdtaskforce.com/proceedings/11/Cravotta.doc</t>
  </si>
  <si>
    <t xml:space="preserve">Proceedings 32nd Annual Meeting West Virginia Surface Mine Drainage Task Force: Morgantown, W.Va., West Virginia University, 4 p. </t>
  </si>
  <si>
    <t>Using AMDTreat and PHREEQC titration module for prediction of AMD effluents</t>
  </si>
  <si>
    <r>
      <t xml:space="preserve">Mineral transformations associated with goethite reduction by </t>
    </r>
    <r>
      <rPr>
        <i/>
        <sz val="11"/>
        <color theme="1"/>
        <rFont val="Calibri"/>
        <family val="2"/>
        <scheme val="minor"/>
      </rPr>
      <t>Methanosarcina barkeri</t>
    </r>
  </si>
  <si>
    <t>http://www.asmr.us/Publications/Conference%20Proceedings/2010/papers/1085-Sibrell-WV.pdf</t>
  </si>
  <si>
    <t>http://www.asmr.us/Publications/Conference%20Proceedings/2010/papers/1413-Cravotta-PA.pdf</t>
  </si>
  <si>
    <t>Hydrogeochemical evolution of Ordovician limestone groundwater in Yanzhou, North China</t>
  </si>
  <si>
    <t>http://files.dep.state.pa.us/Mining/BureauOfMiningPrograms/BMPPortalFiles/Coal_Mine_Drainage_Prediction_and_Pollution_Prevention_in_Pennsylvania.pdf</t>
  </si>
  <si>
    <r>
      <t>Evolution of the chemistry of Fe bearing waters during CO</t>
    </r>
    <r>
      <rPr>
        <vertAlign val="subscript"/>
        <sz val="11"/>
        <color theme="1"/>
        <rFont val="Calibri"/>
        <family val="2"/>
        <scheme val="minor"/>
      </rPr>
      <t>2</t>
    </r>
    <r>
      <rPr>
        <sz val="11"/>
        <color theme="1"/>
        <rFont val="Calibri"/>
        <family val="2"/>
        <scheme val="minor"/>
      </rPr>
      <t xml:space="preserve"> degassing</t>
    </r>
  </si>
  <si>
    <t>Inhibition of bacterial ferrous iron oxidation by lead nitrate in sulfate-rich systems</t>
  </si>
  <si>
    <t>Surface-water and groundwater interactions in an extensively mined watershed, upper Schuylkill River, Pennsylvania, USA</t>
  </si>
  <si>
    <t>Cravotta, C.A. III</t>
  </si>
  <si>
    <t>Apparent rates of Fe(II) oxidation and associated hydrogeochemical interactions in an extensively mined watershed, Pennsylvania, USA</t>
  </si>
  <si>
    <t>http://www.imwa.info/docs/imwa_2013/IMWA2013_CravottaIII_461.pdf</t>
  </si>
  <si>
    <t>http://www.imwa.info/docs/imwa_2013/IMWA2013_CravottaIII_525.pdf</t>
  </si>
  <si>
    <t>U. S. Geological Survey Scientific Investigations Report 2013-5072, 74 p.</t>
  </si>
  <si>
    <t>Temporal geochemical variations in above- and below-drainage coal mine discharge</t>
  </si>
  <si>
    <r>
      <t xml:space="preserve">Dissolution of fluorapatite by </t>
    </r>
    <r>
      <rPr>
        <i/>
        <sz val="11"/>
        <color theme="1"/>
        <rFont val="Calibri"/>
        <family val="2"/>
        <scheme val="minor"/>
      </rPr>
      <t>Pseudomonas fluorescens</t>
    </r>
    <r>
      <rPr>
        <sz val="11"/>
        <color theme="1"/>
        <rFont val="Calibri"/>
        <family val="2"/>
        <scheme val="minor"/>
      </rPr>
      <t xml:space="preserve"> P35 resulting in fluorine release</t>
    </r>
  </si>
  <si>
    <t>http://www.techtransfer.osmre.gov/NTTMainSite/Library/hbmanual/predictH2O/appendixA.pdf</t>
  </si>
  <si>
    <t>AMDTreat 5.0+ with PHREEQC titration module to compute caustic chemical quantity, effluent quality, and sludge volume</t>
  </si>
  <si>
    <r>
      <t>Effects of CO</t>
    </r>
    <r>
      <rPr>
        <vertAlign val="subscript"/>
        <sz val="11"/>
        <color theme="1"/>
        <rFont val="Calibri"/>
        <family val="2"/>
        <scheme val="minor"/>
      </rPr>
      <t>2</t>
    </r>
    <r>
      <rPr>
        <sz val="11"/>
        <color theme="1"/>
        <rFont val="Calibri"/>
        <family val="2"/>
        <scheme val="minor"/>
      </rPr>
      <t xml:space="preserve"> on pH and oxidation rates of Fe(II) in mining affected waters</t>
    </r>
  </si>
  <si>
    <t>Spectral masking of goethite in abandoned mine drainage systems: Implications for Mars</t>
  </si>
  <si>
    <t xml:space="preserve">Cravotta, C.A. III </t>
  </si>
  <si>
    <t>U. S. Geological Survey Circular 1354, 120 p.</t>
  </si>
  <si>
    <t>The quality of our Nation’s waters—Water quality in the principal aquifers of the Piedmont, Blue Ridge, and Valley and Ridge regions, eastern United States, 1993–2009</t>
  </si>
  <si>
    <t>Dissolved metals and associated constituents in abandoned coal-mine discharges, Pennsylvania, USA--2. Geochemical controls on constituent concentrations</t>
  </si>
  <si>
    <t>Characterization of rock samples and mineralogical controls on leachates</t>
  </si>
  <si>
    <t>Utilization of AMD sludges from the anthracite region of Pennsylvania for removal of phosphorus from wastewater</t>
  </si>
  <si>
    <t>Abandoned mine drainage in the Swatara Creek Basin, Southern Anthracite Coalfield, Pennsylvania, USA--2. Performance of passive-treatment systems</t>
  </si>
  <si>
    <t>Abandoned mine drainage in the Swatara Creek Basin, Southern Anthracite Coalfield, Pennsylvania, USA--1. Streamwater-quality trends coinciding with the return of fish</t>
  </si>
  <si>
    <t>Using the computer program AMDTreat with a PHREEQC titration module to compute caustic quantity, effluent quality, and sludge volume</t>
  </si>
  <si>
    <t>A geochemical module for “AMDTreat” to compute caustic quantity, effluent quality, and sludge volume</t>
  </si>
  <si>
    <t>Laboratory and field evaluation of a flushable oxic limestone drain for treatment of net-acidic, metal-laden drainage from a flooded anthracite mine, Pennsylvania, USA</t>
  </si>
  <si>
    <t>Quantity and quality of stream water draining mined areas of the upper Schuylkill River basin, Schuylkill County, Pennsylvania, 2005-2007</t>
  </si>
  <si>
    <t>Downflow limestone beds for treatment of net-acidic, oxic, iron-laden drainage from a flooded anthracite mine, Pennsylvania, USA--Field evaluation</t>
  </si>
  <si>
    <t>Downflow limestone beds for treatment of net-acidic, oxic, iron-laden drainage from a flooded anthracite mine, Pennsylvania, USA--Laboratory evaluation</t>
  </si>
  <si>
    <t>Effects of historical coal mining and drainage from abandoned mines on streamflow and water quality in Newport and Nanticoke Creeks, Luzerne County, Pennsylvania, 1999-2000</t>
  </si>
  <si>
    <t>Passive aerobic treatment of net-alkaline, iron-laden drainage from a flooded underground anthracite mine, Pennsylvania, USA</t>
  </si>
  <si>
    <t>Relations among pH, sulfate, and metals concentrations in Anthracite and Bituminous coal-mine discharges</t>
  </si>
  <si>
    <t>Assessment of characteristics and remedial alternatives for abandoned mine drainage : case study at Staple Bend Tunnel Unit of Allegheny Portage Railroad National Historic Site, Cambria County, Pennsylvania, 2004</t>
  </si>
  <si>
    <t>Effects of abandoned coal-mine drainage on streamflow and water quality in the Mahanoy Creek Basin, Schuylkill, Columbia, and Northumberland Counties, Pennsylvania, 2001</t>
  </si>
  <si>
    <t>Implications of ground water chemistry and flow patterns for earthquake studies</t>
  </si>
  <si>
    <t>Acid-rock drainage at Skytop, Centre County, Pennsylvania, 2004</t>
  </si>
  <si>
    <t>Acidity and alkalinity in mine drainage--practical considerations</t>
  </si>
  <si>
    <t>Effects of abandoned coal-mine drainage on streamflow and water quality in the Shamokin Creek Basin, Northumberland and Columbia Counties, Pennsylvania, 1999-2001</t>
  </si>
  <si>
    <t>Optimization of limestone drains for long- term treatment of acidic mine drainage, Swatara Creek Basin, Schuylkill County, PA</t>
  </si>
  <si>
    <t>Acidity and alkalinity in mine drainage--theoretical considerations</t>
  </si>
  <si>
    <t>Size and performance of anoxic limestone drains to neutralize acidic mine drainage</t>
  </si>
  <si>
    <t xml:space="preserve">New method to estimate longevity of anoxic limestone drains </t>
  </si>
  <si>
    <t>Design and performance of limestone drains to increase pH and remove metals from acidic mine drainage</t>
  </si>
  <si>
    <t xml:space="preserve">Restoration and monitoring of aquatic quality in a coal-mined watershed, Swatara Creek at Ravine, Pennsylvania </t>
  </si>
  <si>
    <t>Assessing mine drainage pH from the color and spectral reflectance of chemical precipitates</t>
  </si>
  <si>
    <t>Water-quality trends for a coal-mined watershed in Eastern Pennsylvania</t>
  </si>
  <si>
    <t>Detecting change in water quality from implementation of limestone treatment systems in a coal-mined watershed, Pennsylvania</t>
  </si>
  <si>
    <t>Relations among sulfate, metals, sediment, and streamflow data for a stream draining a coal-mined watershed in east-central Pennsylvania</t>
  </si>
  <si>
    <t>Geochemical investigations by the U.S. Geological Survey on uranium mining, milling, and environmental restoration</t>
  </si>
  <si>
    <t>Multispectral signature variations in acidic versus near-neutral contaminated coal mine drainage in Pennsylvania</t>
  </si>
  <si>
    <t>Frequency distribution of the pH of coal-mine drainage in Pennsylvania</t>
  </si>
  <si>
    <t>Hydrobiogeochemical interactions in “anoxic” limestone drains for neutralization of acidic mine drainage</t>
  </si>
  <si>
    <t>Effect of sewage sludge on formation of acidic ground water at a reclaimed coal mine</t>
  </si>
  <si>
    <t>Oxic limestone drains for treatment of dilute, acidic mine drainage</t>
  </si>
  <si>
    <t>Geochemistry of coal-mine drainage</t>
  </si>
  <si>
    <t>Water</t>
  </si>
  <si>
    <t>Use of stable isotopes of carbon, nitrogen, and sulfur to identify sources of nitrogen in surface waters in the lower Susquehanna River Basin, Pennsylvania</t>
  </si>
  <si>
    <t>Hydrobiogeochemical interactions on calcite and gypsum in “anoxic” limestone drains in West Virginia and Pennsylvania</t>
  </si>
  <si>
    <t>Limestone drains to increase pH and remove dissolved metals from an acidic coal-mine discharge in Pennsylvania</t>
  </si>
  <si>
    <t>Oxygen transport and pyrite oxidation in unsaturated coal-mine spoil</t>
  </si>
  <si>
    <t>Development and preliminary testing of microbial and spectral reflectance techniques to distinguish neutral from acidic drainages</t>
  </si>
  <si>
    <t>Consequences of energy use on water quality</t>
  </si>
  <si>
    <t>Use of stable carbon, nitrogen, and sulfur isotopes to identify sources of nitrogen in surface waters in the lower Susquehanna River Basin, Pennsylvania</t>
  </si>
  <si>
    <t>Secondary iron-sulfate minerals as sources of sulfate and acidity</t>
  </si>
  <si>
    <t>Geochemical and geohydrological characteristics of bedrock and mine spoil from two methods of mining at a reclaimed surface coal mine in Clarion County, PA, USA</t>
  </si>
  <si>
    <t>Effects of selective handling of pyritic, acid-forming materials on the chemistry of pore gas and ground water at a reclaimed surface coal mine in Clarion County, PA, USA</t>
  </si>
  <si>
    <t>Water-quality data for two surface coal mines reclaimed with alkaline waste or urban sewage sludge, Clarion County, Pennsylvania, May 1983 through November 1989</t>
  </si>
  <si>
    <t>Acid base accounting--An improved method of interpreting overburden chemistry to predict the quality of coal-mine drainage</t>
  </si>
  <si>
    <t>Geochemical evolution of acidic ground water at a reclaimed surface coal mine in western Pennsylvania</t>
  </si>
  <si>
    <t>Effectiveness of the addition of alkaline materials at surface coal mines in preventing or abating acid mine drainage--Part 2. Mine site case studies</t>
  </si>
  <si>
    <t>Effectiveness of the addition of alkaline materials at surface coal mines in preventing or abating acid mine drainage--Part 1. Geochemical considerations</t>
  </si>
  <si>
    <t>A mass-balance approach for interpreting the chemical composition of a conduit spring in Blair County, Pennsylvania</t>
  </si>
  <si>
    <r>
      <t xml:space="preserve">Monitoring, field experiments, and geochemical modeling of </t>
    </r>
    <r>
      <rPr>
        <sz val="11"/>
        <color theme="1"/>
        <rFont val="Calibri"/>
        <family val="2"/>
        <scheme val="minor"/>
      </rPr>
      <t>Fe(II) oxidation kinetics in a stream dominated by net-alkaline coal-mine drainage, Pennsylvania, U.S.A.</t>
    </r>
  </si>
  <si>
    <t>Naturally occurring contaminants in the Piedmont and Blue Ridge crystalline-rock aquifers and Piedmont Early Mesozoic Basin siliciclastic-rock aquifers, eastern United States, 1994-2008</t>
  </si>
  <si>
    <t>Acid mine drainage</t>
  </si>
  <si>
    <t>Baseline assessment of groundwater quality in Wayne County, Pennsylvania, 2014</t>
  </si>
  <si>
    <t>Enhanced Al and Zn removal from coal-mine drainage during rapid oxidation and precipitation of Fe oxides at near-neutral  pH</t>
  </si>
  <si>
    <t>Groundwater quality for 75 domestic wells in Lycoming County, 2014</t>
  </si>
  <si>
    <t>Hydrological and geophysical investigation of streamflow losses and restoration strategies in an abandoned mine lands setting</t>
  </si>
  <si>
    <t>Baseline assessment of groundwater quality in Pike County, Pennsylvania, 2015</t>
  </si>
  <si>
    <t>U.S. Geological Survey Scientific Investigations Report 2017-5110, 181 p.</t>
  </si>
  <si>
    <t>Radium attenuation and mobilization in stream sediments following oil and gas wastewater disposal in western Pennsylvania</t>
  </si>
  <si>
    <t>Hydrologic characteristics and water quality of headwater streams and wetlands at the Allegheny Portage Railroad National Historic Site, Summit area, Blair and Cambria Counties, Pennsylvania, 2014–16</t>
  </si>
  <si>
    <t>https://doi.org/10.3133/ofr20181125</t>
  </si>
  <si>
    <t>https://doi.org/10.5066/P9YWMMHG</t>
  </si>
  <si>
    <t>Hydrologic data collected by the U.S. Geological Survey and National Park Service at the Allegheny Portage Railroad National Historic Site, Summit Area, Blair and Cambria Counties, Pennsylvania, April 2014-December 2016</t>
  </si>
  <si>
    <t>https://doi.org/10.1016/j.apgeochem.2018.10.011</t>
  </si>
  <si>
    <t>Emerging investigator series: radium accumulation in carbonate river sediments at oil and gas produced water discharges: implications for beneficial use as disposal management</t>
  </si>
  <si>
    <t>https://doi.org/10.1039/c8em00336j</t>
  </si>
  <si>
    <t>Factors affecting the occurrence of lead and manganese in untreated drinking water from Atlantic and Gulf Coastal Plain aquifers, eastern United States—Dissolved oxygen and pH framework for evaluating risk of elevated concentrations</t>
  </si>
  <si>
    <t>https://doi.org/10.1016/j.apgeochem.2018.10.017</t>
  </si>
  <si>
    <t>https://pubs.acs.org/doi/pdf/10.1021/acs.est.9b00453</t>
  </si>
  <si>
    <t>Kinetic study on clogging of a geothermal pumping well triggered by mixing-induced biogeochemical reactions</t>
  </si>
  <si>
    <t>Drinking water health standards comparison and chemical analysis of groundwater for 72 domestic wells in Bradford County, Pennsylvania, 2016</t>
  </si>
  <si>
    <t>https://doi.org/10.3133/sir20185170</t>
  </si>
  <si>
    <t>Batch extraction method to estimate total dissolved solids (TDS) release from coal refuse and overburden</t>
  </si>
  <si>
    <t>https://doi.org/10.1016/j.apgeochem.2020.104540</t>
  </si>
  <si>
    <t>Priority Pollutants and associated constituents in untreated and treated discharges from coal mines in Pennsylvania, U.S.A.</t>
  </si>
  <si>
    <t>Groundwater quality in relation to drinking water health standards and geochemical characteristics for 54 domestic wells in Clinton County, Pennsylvania, 2017</t>
  </si>
  <si>
    <t>https://doi.org/10.3133/sir20205022</t>
  </si>
  <si>
    <t>https://doi.org/10.1021/acs.est.0c00192</t>
  </si>
  <si>
    <t>Lithium in groundwater used for drinking-water supply in the United States</t>
  </si>
  <si>
    <t>https://doi.org/10.2134/jeq2003.1277</t>
  </si>
  <si>
    <t>https://doi.org/10.1144/geochem.1.1.33</t>
  </si>
  <si>
    <t>http://www.gbv.de/dms/tib-ub-hannover/317652273.pdf</t>
  </si>
  <si>
    <t>https://www.researchgate.net/publication/266277832_DETECTING_CHANGE_IN_WATER_QUALITY_FROM_IMPLEMENTATION_OF_LIMESTONE_TREATMENT_SYSTEMS_IN_A_COAL-MINED_WATERSHED_PENNSYLVANIA</t>
  </si>
  <si>
    <t>Groundwater quality in relation to drinking water health standards and hydrogeologic and geochemical characteristics for 47 domestic wells in Potter County, Pennsylvania, 2017</t>
  </si>
  <si>
    <t>U.S. Geological Survey Scientific Investigations Report 2020-5038, 67 p.</t>
  </si>
  <si>
    <t>https://doi.org/10.3133/sir20205038</t>
  </si>
  <si>
    <t>Interactive PHREEQ-N-AMDTreat water-quality modeling tools to evaluate performance and design of treatment systems for acid mine drainage</t>
  </si>
  <si>
    <t>Interactive PHREEQ-N-AMDTreat water-quality modeling tools to evaluate performance and design of treatment systems for acid mine drainage (software download)</t>
  </si>
  <si>
    <t>https://doi.org/10.5066/P9QEE3D5</t>
  </si>
  <si>
    <t>https://doi.org/10.1016/j.apgeochem.2020.104845</t>
  </si>
  <si>
    <t>https://doi.org/10.1016/j.scitotenv.2020.144691</t>
  </si>
  <si>
    <t>https://doi.org/10.3133/sir20165073</t>
  </si>
  <si>
    <t>https://doi.org/10.3133/sir20135072</t>
  </si>
  <si>
    <t>https://doi.org/10.3133/sir20105261</t>
  </si>
  <si>
    <t>https://doi.org/10.3133/sir20175110</t>
  </si>
  <si>
    <t>https://doi.org/10.3133/sir20165143</t>
  </si>
  <si>
    <t>https://doi.org/10.3133/cir1354</t>
  </si>
  <si>
    <t>https://doi.org/10.1016/j.apgeochem.2016.12.019</t>
  </si>
  <si>
    <t>https://doi.org/10.1080/01490451.2016.1204376</t>
  </si>
  <si>
    <t>https://doi.org/10.1081/E-ESS-120001582</t>
  </si>
  <si>
    <t>https://doi.org/10.1016/j.apgeochem.2015.03.001</t>
  </si>
  <si>
    <t>https://doi.org/10.1016/j.apgeochem.2015.02.010</t>
  </si>
  <si>
    <t>https://doi.org/10.1016/j.apgeochem.2015.02.009</t>
  </si>
  <si>
    <t>https://doi.org/10.1007/s10230-014-0292-6</t>
  </si>
  <si>
    <t>https://doi.org/10.1016/j.epsl.2014.06.045</t>
  </si>
  <si>
    <t>https://doi.org/10.1002/hyp.9885</t>
  </si>
  <si>
    <t>https://doi.org/10.1016/j.jhazmat.2012.11.004</t>
  </si>
  <si>
    <t>https://doi.org/10.1002/hyp.9297</t>
  </si>
  <si>
    <t>https://doi.org/10.1016/j.apgeochem.2012.07.017</t>
  </si>
  <si>
    <t>https://doi.org/10.1016/j.chemgeo.2011.06.013</t>
  </si>
  <si>
    <t>https://doi.org/10.1007/s10230-010-0113-5</t>
  </si>
  <si>
    <t>https://doi.org/10.1007/s10230-010-0112-6</t>
  </si>
  <si>
    <t>https://doi.org/10.1007/s10230-007-0002-8</t>
  </si>
  <si>
    <t>https://doi.org/10.1016/j.apgeochem.2005.07.002</t>
  </si>
  <si>
    <t>https://doi.org/10.1016/j.apgeochem.2005.07.003</t>
  </si>
  <si>
    <t>https://doi.org/10.1016/B978-012513563-4/50006-2</t>
  </si>
  <si>
    <t>https://doi.org/10.1016/S0883-29270200019-7</t>
  </si>
  <si>
    <t>https://doi.org/10.1016/S0016-23619800147-1</t>
  </si>
  <si>
    <t>https://doi.org/10.3133/wsp2497</t>
  </si>
  <si>
    <t>Occurrence and geochemistry of lead-210 and polonium-210 radionuclides in public drinking water supplies from principal aquifers of the United States</t>
  </si>
  <si>
    <t>https://doi.org/10.1021/acs.est.0c06740</t>
  </si>
  <si>
    <t>Machine-learning predictions of high arsenic and high manganese at drinking water depths of the Glacial Aquifer System, northern continental United States</t>
  </si>
  <si>
    <t>Factors affecting groundwater quality used for domestic supply in Marcellus Shale region of north-central and north-east Pennsylvania, USA</t>
  </si>
  <si>
    <t>Mine drainage precipitates attenuate and conceal wastewater-derived phosphate pollution in stream water</t>
  </si>
  <si>
    <t>Determination and prediction of micro scale rare earth element geochemical associations in mine drainage treatment wastes</t>
  </si>
  <si>
    <t>https://doi.org/10.5066/P9D8VQDV</t>
  </si>
  <si>
    <t>Pollutant co-attenuation via in-stream interactions between mine drainage and municipal wastewater</t>
  </si>
  <si>
    <t>Relation between road-salt application and increasing radium concentrations in a low-pH aquifer, southern New Jersey</t>
  </si>
  <si>
    <t>https://doi.org/10.1016/j.apgeochem.2021.105149</t>
  </si>
  <si>
    <t>https://doi.org/10.1021/acsestwater.1c00307</t>
  </si>
  <si>
    <t>http://dx.doi.org/10.1016/j.scitotenv.2021.152672</t>
  </si>
  <si>
    <t>https://doi.org/10.1016/j.watres.2022.118173</t>
  </si>
  <si>
    <r>
      <t>Interactive PHREEQ-N-Titration-PO</t>
    </r>
    <r>
      <rPr>
        <vertAlign val="subscript"/>
        <sz val="11"/>
        <color rgb="FF00B0F0"/>
        <rFont val="Calibri"/>
        <family val="2"/>
        <scheme val="minor"/>
      </rPr>
      <t>4</t>
    </r>
    <r>
      <rPr>
        <sz val="11"/>
        <color rgb="FF00B0F0"/>
        <rFont val="Calibri"/>
        <family val="2"/>
        <scheme val="minor"/>
      </rPr>
      <t>-Adsorption water-quality modeling tools to evaluate potential attenuation of phosphate and associated dissolved constituents by aqueous-solid equilibrium processes (software download)</t>
    </r>
  </si>
  <si>
    <t>PHREEQ-N-AMDTreat+REYS water-quality modeling tools to evaluate acid mine drainage treatment strategies for recovery of rare-earth elements</t>
  </si>
  <si>
    <t>Determination and prediction of rare earth element geochemical associations in acid mine drainage treatment wastes</t>
  </si>
  <si>
    <t>https://doi.org/10.3133/wri034311</t>
  </si>
  <si>
    <t>https://doi.org/10.3133/sir20045291</t>
  </si>
  <si>
    <t>https://doi.org/10.3133/ofr20051148</t>
  </si>
  <si>
    <t>https://doi.org/10.3133/ofr20051283</t>
  </si>
  <si>
    <t>https://doi.org/10.3133/sir20075061</t>
  </si>
  <si>
    <t>https://doi.org/10.3133/ofr93115</t>
  </si>
  <si>
    <t>https://doi.org/10.3133/ofr94510</t>
  </si>
  <si>
    <t>https://doi.org/10.5066/P9M5QVK0</t>
  </si>
  <si>
    <t>Interactive PHREEQ-N-AMDTreat+REYs water-quality modeling tools to evaluate potential attenuation of rare-earth elements and associated dissolved constituents by aqueous-solid equilibrium processes (software download)</t>
  </si>
  <si>
    <t>https://doi.org/10.2113/gseegeosci.23.4.243</t>
  </si>
  <si>
    <t>Long-term impacts of impervious surface cover change and roadway deicing agent application on chloride concentrations in exurban and suburban watersheds</t>
  </si>
  <si>
    <t>https://doi.org/10.1016/j.scitotenv.2022.157933</t>
  </si>
  <si>
    <t>Limestone drains to increase pH and remove dissolved metals from acidic mine drainage</t>
  </si>
  <si>
    <t>Considerations for chemical monitoring at coal mines</t>
  </si>
  <si>
    <t>SORT</t>
  </si>
  <si>
    <t>https://drive.google.com/file/d/1H07fhUBKaqLFTQl5DwYH-bxOHWctIdbJ/view</t>
  </si>
  <si>
    <t>https://doi.org/10.1021/acsestwater.2c00027</t>
  </si>
  <si>
    <t>Gross alpha-particle activity regulation might not be protective for 210Po in the Atlantic and Gulf Coastal Plain aquifers of the United States</t>
  </si>
  <si>
    <t>https://doi.org/10.1016/j.apgeochem.2007.10.011</t>
  </si>
  <si>
    <t>https://doi.org/10.1007/s10230-008-0029-5</t>
  </si>
  <si>
    <t>https://doi.org/10.1007/s10230-008-0031-y</t>
  </si>
  <si>
    <t>https://doi.org/10.1016/j.apgeochem.2007.10.003</t>
  </si>
  <si>
    <t>https://doi.org/10.1016/j.apgeochem.2008.07.015</t>
  </si>
  <si>
    <t>Land development and road salt usage drive long-term changes in major-ion chemistry of streamwater in six exurban and suburban watersheds, southeastern Pennsylvania, 1999–2019</t>
  </si>
  <si>
    <t>https://doi.org/10.3389/fenvs.2023.1153133</t>
  </si>
  <si>
    <t>Salinity and total dissolved solids measurements for natural waters: an overview and a new salinity estimation method based on specific conductance measurements and water ty</t>
  </si>
  <si>
    <t>https://doi.org/10.1016/j.apgeochem.2023.105684</t>
  </si>
  <si>
    <t>Enhanced phosphorus removal via cotreatment of mine drainage during primary municipal wastewater clarification</t>
  </si>
  <si>
    <t>https://doi.org/10.1016/j.chemosphere.2023.140475</t>
  </si>
  <si>
    <t>Legacy sediment as a potential source of orthophosphate: Preliminary conceptual and geochemical models for the Susquehanna River, Chesapeake Bay Watershed, USA</t>
  </si>
  <si>
    <t>https://doi.org/10.1016/j.scitotenv.2023.169361</t>
  </si>
  <si>
    <t>https://doi.org/10.3133/wri994018A</t>
  </si>
  <si>
    <t>Multi-decadal geochemical evolution of drainage from underground coal mines in the Appalachian basin, USA</t>
  </si>
  <si>
    <t>https://doi.org/10.1016/j.scitotenv.2024.174681</t>
  </si>
  <si>
    <t>https://doi.org/10.1016/j.scitotenv.2024.174266</t>
  </si>
  <si>
    <t>Exploring spatial and temporal symptoms of the freshwater salinization syndrome in a rural to urban watershed</t>
  </si>
  <si>
    <t>Complex hydrology and variability of nitrogen sources in a karst watershed</t>
  </si>
  <si>
    <t>https://doi.org/10.1002/jeq2.20578</t>
  </si>
  <si>
    <t>Cravotta, C.A. III, Tasker, T.L., Hedin, B.C.</t>
  </si>
  <si>
    <t>Schaffer, C.R., Cravotta, C.A. III, Capo, R.C., Stewart, B.W., Hedin, B.C., Vesper, D.J.</t>
  </si>
  <si>
    <t>Vesper, D.J, Cravotta, C.A. III, Fredrick, K., Herman, E.K., Lei, L., Riddell, J.L., Bell, M.L., Rockwell, L.J., Schaffer, C.R.</t>
  </si>
  <si>
    <t>https://www.imwa.info/docs/imwa_2024/IMWA2024_Vesper_625.pdf</t>
  </si>
  <si>
    <t>https://www.imwa.info/docs/imwa_2024/IMWA2024_CravottaIII_98.pdf</t>
  </si>
  <si>
    <t>https://www.imwa.info/docs/imwa_2024/IMWA2024_CravottaIII_91.pdf</t>
  </si>
  <si>
    <t>https://www.imwa.info/docs/imwa_2024/IMWA2024_Schaffer_555.pdf</t>
  </si>
  <si>
    <t xml:space="preserve">U.S. Geological Survey Software Release. </t>
  </si>
  <si>
    <t>Geochemical modeling to understand and mitigate aquatic contamination by abandoned mine drainage</t>
  </si>
  <si>
    <t>Laboratory and field observations inform geochemical models of treatment strategies to recover rare-earth elements from acid mine drainage</t>
  </si>
  <si>
    <t>Coal mine drainage contaminant trend prediction in an Appalachian basin, USA</t>
  </si>
  <si>
    <t>The release of dissolved inorganic carbon (DIC) and CO₂ from coal mine drainages</t>
  </si>
  <si>
    <t>Evaluation of coal mine drainage and associated precipitates for radium and rare earth element concentrations</t>
  </si>
  <si>
    <t>https://doi.org/10.1016/j.coal.2024.104547</t>
  </si>
  <si>
    <t>Specific conductance and water type as a proxy model for salinity and total dissolved solids measurements in the Upper Colorado River Basin</t>
  </si>
  <si>
    <t>Nutrient reductions as co-benefit of acid mine drainage (AMD) treatment: Quantifying nutrient load reductions for restored stream segments in AMD-impacted watersheds</t>
  </si>
  <si>
    <t xml:space="preserve">Chesapeake Bay Program Scientific and Technical Advisory Committee (STAC) Publication Number 25-002, 44 p. </t>
  </si>
  <si>
    <t>Sorption of rare-earth elements with hydrous ferric oxide and hydrous aluminum oxide--Roles of sulfate and pH</t>
  </si>
  <si>
    <t>Water-quality modeling tools to evaluate attenuation of dissolved constituents by precipitation and adsorption reactions during treatment of acid mine drainage</t>
  </si>
  <si>
    <t>Improved acidity estimation by integrating comprehensive dissolved metal(oid)s data: A geochemical modeling case study of highly mineralized mine waters</t>
  </si>
  <si>
    <t>Acid mine drainage remediation with waste products: Laboratory findings and field model applications</t>
  </si>
  <si>
    <t xml:space="preserve">Proceedings 2025 International Mine Water Association Conference, Braga, Portugal, 208-213. </t>
  </si>
  <si>
    <t>Proceedings 2025 International Mine Water Association Conference, Braga, Portugal, 97-101.</t>
  </si>
  <si>
    <t>Proceedings 2025 International Mine Water Association Conference, Braga, Portugal, 70-76.</t>
  </si>
  <si>
    <t xml:space="preserve">https://www.imwa.info/docs/imwa_2025/IMWA2025_CravottaIII_208.pdf </t>
  </si>
  <si>
    <t xml:space="preserve">https://www.imwa.info/docs/imwa_2025/IMWA2025_Barroso_97.pdf </t>
  </si>
  <si>
    <t xml:space="preserve">https://www.imwa.info/docs/imwa_2025/IMWA2025_Araujo_70.pdf </t>
  </si>
  <si>
    <t>Groundwater salinity:  Applying the specific conductance and water type proxy</t>
  </si>
  <si>
    <t>https://doi.org/10.1111/gwat.70038</t>
  </si>
  <si>
    <r>
      <t>Determination of CO</t>
    </r>
    <r>
      <rPr>
        <vertAlign val="subscript"/>
        <sz val="11"/>
        <color theme="1"/>
        <rFont val="Calibri"/>
        <family val="2"/>
        <scheme val="minor"/>
      </rPr>
      <t>2</t>
    </r>
    <r>
      <rPr>
        <sz val="11"/>
        <color theme="1"/>
        <rFont val="Calibri"/>
        <family val="2"/>
        <scheme val="minor"/>
      </rPr>
      <t xml:space="preserve"> and DIC in high-CO</t>
    </r>
    <r>
      <rPr>
        <vertAlign val="subscript"/>
        <sz val="11"/>
        <color theme="1"/>
        <rFont val="Calibri"/>
        <family val="2"/>
        <scheme val="minor"/>
      </rPr>
      <t>2</t>
    </r>
    <r>
      <rPr>
        <sz val="11"/>
        <color theme="1"/>
        <rFont val="Calibri"/>
        <family val="2"/>
        <scheme val="minor"/>
      </rPr>
      <t xml:space="preserve"> waters:  An application for the analysis of coal mine waters</t>
    </r>
  </si>
  <si>
    <t>Knierim, K.J., Stackelberg, P.E., McCleskey, R.B., Cravotta, C.A. III,  Belitz, K., Killian, C.D.</t>
  </si>
  <si>
    <t>Random forest predictions of total dissolved solids in groundwater in three dimensions across the continental United States</t>
  </si>
  <si>
    <t>Water Resources Research, submitted</t>
  </si>
  <si>
    <t>Stackelberg, P.E., Knierim, K.J., Belitz, K., Cravotta, C.A. III, McCleskey, R.B., Killian, C.D.</t>
  </si>
  <si>
    <t>Predicting groundwater hydrochemical facies in three dimensions across the conterminous United States with random forest classification</t>
  </si>
  <si>
    <t>Groundwater, submitted</t>
  </si>
  <si>
    <t>Boothe-Lordon, T.J.Cravotta, C.A. III, Tasker, T.L., Stewart, B.W., Capo, R.C., Hedin, B.</t>
  </si>
  <si>
    <t>Geochemical modeling of rare earth element adsorption onto aluminum hydroxide and hydroxysulfate under variable sulfate conditions</t>
  </si>
  <si>
    <t>Chemosphere, submitted</t>
  </si>
  <si>
    <t>Tasker, T.L., Cravotta, C.A. III, Roman, B.</t>
  </si>
  <si>
    <t>http://dx.doi.org/10.2139/ssrn.6208107</t>
  </si>
  <si>
    <t>Roman, B., Cravotta, C.A. III, Spellman Jr., C.J., Strosnider, W.H.J., Goodwill, J.E., Tasker, T.L.</t>
  </si>
  <si>
    <t>Ecological Engineering 98 (2) e70298</t>
  </si>
  <si>
    <t>https://doi.org/10.1002/wer.70298</t>
  </si>
  <si>
    <t>McCleskey, B.R., Cravotta, C.A. III, Knierim, K., Stackelberg, P.E., Killian, C.</t>
  </si>
  <si>
    <t>Groundwater 64 (2) 150-160</t>
  </si>
  <si>
    <t>Hayes, B., Zhu, W., Dawes, R.J., Cravotta, C.A., Hughes, R., Moyer, G., Tasker, T., Shallenberger, J., Dawes, J.</t>
  </si>
  <si>
    <t xml:space="preserve">https://www.chesapeake.org/stac/wp-content/uploads/2025/04/STAC-Technical-Review_Acid-Mine-Drainage_25-002.pdf </t>
  </si>
  <si>
    <t>McCleskey, R.B., Cravotta, C.A. III, Miller, M.P., Chapin, T.W., Tillman, F., Keith, G.L.</t>
  </si>
  <si>
    <t>Applied Geochemistry 184, 106358.</t>
  </si>
  <si>
    <t xml:space="preserve">https://doi.org/10.1016/j.apgeochem.2025.106358 </t>
  </si>
  <si>
    <t>Vesper, D.J., Cravotta, C.A. III, Lei, L., Wallace, M., Schaffer, C.R.</t>
  </si>
  <si>
    <t>Applied Geochemistry 183, 106336.</t>
  </si>
  <si>
    <t xml:space="preserve">https://doi.org/10.1016/j.apgeochem.2025.106336 </t>
  </si>
  <si>
    <t>Araújo, J.F., Cravotta, C.A. III, Fonseca, R., da Silva, R.P., Prats, A.S., Valente, T.</t>
  </si>
  <si>
    <t>Barroso, A.R., Cravotta, C.A. III, Gomes, P., Horta Ribeiro, I.M., Marinho Reis, A.P., Valente, T.M.</t>
  </si>
  <si>
    <t>McDevitt, B., Cravotta, C.A. III, McAleer, R.J., Jackson, J.C., Jubb, A.M., Jolly, G.D., Hedin, B.C., Warner, N.R.</t>
  </si>
  <si>
    <t>International Journal of Coal Geology 28, 104547.</t>
  </si>
  <si>
    <t>Proceedings of the West Virginia Mine Drainage Task Force Symposium &amp; 15th International Mine Water Association Congress, Morgantown, WV, USA, 91-97.</t>
  </si>
  <si>
    <t xml:space="preserve">Proceedings of the West Virginia Mine Drainage Task Force Symposium &amp; 15th International Mine Water Association Congress, Morgantown, WV, USA, 98-104. </t>
  </si>
  <si>
    <t xml:space="preserve">Proceedings of the West Virginia Mine Drainage Task Force Symposium &amp; 15th International Mine Water Association Congress, Morgantown, WV, USA, 555-561. </t>
  </si>
  <si>
    <t>Proceedings of the West Virginia Mine Drainage Task Force Symposium &amp; 15th International Mine Water Association Congress, Morgantown, WV, USA, 625-626.</t>
  </si>
  <si>
    <t>Interactive PHREEQ-N-Ra-Cl-pH-Titration water-quality modeling tools to evaluate potential aqueous/solid equilibrium distributions of radium and associated dissolved constituents in response to changes in salinity or pH (software download)</t>
  </si>
  <si>
    <t>: U.S. Geological Survey Software Release.</t>
  </si>
  <si>
    <t>https://doi.org/10.5066/P9157D7U</t>
  </si>
  <si>
    <t>Schaffer, C.R., Cravotta, C.A. III, Capo, R.C., Hedin, B.C., Vesper, D.J., Stewart, B.W.</t>
  </si>
  <si>
    <t>Science of the Total Environment 947, 174681.</t>
  </si>
  <si>
    <t>Marks, N.J., Cravotta, C.A. III, Rossi, M.L., Silva, C., Kremer, P., Goldsmith, S.</t>
  </si>
  <si>
    <t>Science of the Total Environment 947, 174266.</t>
  </si>
  <si>
    <t>Clune, J.W., Cravotta, C.A. III, Husic, A., Dozier, H.J., Schimdt, K.E.</t>
  </si>
  <si>
    <t>Journal of Environmental Quality 53, 492-507.</t>
  </si>
  <si>
    <t>Cravotta, C.A. III, Tasker, T.L., Smyntek, P.M., Blomquist, J.D., Clune, J.W., Zhang, Q., Schmadel, N.M., Schmer, N.K.</t>
  </si>
  <si>
    <t>Science of the Total Environment 912, 169361.</t>
  </si>
  <si>
    <t>Hedin, B.C., Stuckman, M.Y., Cravotta C.A. III, Lopano, C.L., Capo, R.C.</t>
  </si>
  <si>
    <t>Chemosphere 346, 147475.</t>
  </si>
  <si>
    <t>Rossi, M.L., Kremer, P., Cravotta, C.A., Seng, K.E., Goldsmith, S.T.</t>
  </si>
  <si>
    <t>Frontiers in Environmental Science 11, 1153133.</t>
  </si>
  <si>
    <t>McCleskey, R.B., Cravotta C.A. III, Miller, M.P., Tillman, F., Stackelberg, P., Knierim, K.J., Wise, D.R.</t>
  </si>
  <si>
    <t>Applied Geochemistry 154 105684.</t>
  </si>
  <si>
    <t>Szabo, Z., Cravotta, C.A. III, Stackelberg, P.E., Belitz, K.</t>
  </si>
  <si>
    <t>ES&amp;T Water 3, 262-274.</t>
  </si>
  <si>
    <t>Proceedings of the 12th International Conference on Acid Mine Drainage, online. 18-24 September 2022, 788-804.</t>
  </si>
  <si>
    <t>Hedin, B.C., Cravotta, C.A., Stuckman, M.Y., Lopano, C.L., Capo, R.C., Hedin, R.S.</t>
  </si>
  <si>
    <t>Proceedings of the 12th International Conference on Acid Mine Drainage, online. 18-24 September 2022, 626-633.</t>
  </si>
  <si>
    <t>Rossi, M.L., Kremer, Peleg, Cravotta, C.A., Scheirer, K.E., Goldsmith, S.T.</t>
  </si>
  <si>
    <t>Science of the Total Environment 851, 157933.</t>
  </si>
  <si>
    <t>Spellman, C.J. Jr., Smyntek, P.M., Cravotta, C.A. III, Tasker, T.L., Strosnider, W.H.J.</t>
  </si>
  <si>
    <t>Water Research 214, 118173.</t>
  </si>
  <si>
    <t>Smyntek, P., Lamagna, N., Cravotta, C.A. III, Strosnider, W.H.J.</t>
  </si>
  <si>
    <t>Science of the Total Environment 815, 152672.</t>
  </si>
  <si>
    <t>Cravotta, C.A. III, Senior, L.A., Conlon, M.D.</t>
  </si>
  <si>
    <t>Applied Geochemistry 137, 105149.</t>
  </si>
  <si>
    <t>Lindsey, B.D., Cravotta, C.A. III, Szabo, Z., Belitz, K., Stackelberg, P.E.</t>
  </si>
  <si>
    <t>ES&amp;T Water 1, 2541-2547.</t>
  </si>
  <si>
    <t xml:space="preserve">Erickson, M.L., Elliott, S.M., Brown, C.J., Stackelberg, P.E., Ransom, K.M., Reddy, J.E., Cravotta, C.A. III </t>
  </si>
  <si>
    <t>Environmental Science &amp; Technology 55, 5791-5805.</t>
  </si>
  <si>
    <t>Applied Geochemistry 126, 10845.</t>
  </si>
  <si>
    <t>Lindsey, B.D., Belitz, Kenneth, Cravotta, C.A. III, Dubrovsky, N.M., Toccalino, Patricia</t>
  </si>
  <si>
    <t xml:space="preserve">Science of the Total Environment 767, 144691. </t>
  </si>
  <si>
    <t>Galeone, D.G., Cravotta, C.A. III, Risser, D.W.</t>
  </si>
  <si>
    <t>Szabo, Z., Stackelberg, P.E., Cravotta, C.A. III</t>
  </si>
  <si>
    <t>Environmental Science &amp; Technology 54, 7236-7249.</t>
  </si>
  <si>
    <t>Clune, J.W., Cravotta, C.A. III</t>
  </si>
  <si>
    <t>U.S. Geological Survey Scientific Investigations Report 2020-5022, 72 p.</t>
  </si>
  <si>
    <t>Castillo-Meza, L.E., Cravotta, C.A. III, Tasker, T.L., Warner, N.R., Daniels, W.L., Orndorff, Z.W., Bergstresser, T., Douglass, A., Kimble, G., Streczywilk, J., Barton, C., Fulton, S., Thompson A., Burgos, W.D.</t>
  </si>
  <si>
    <t>Applied Geochemistry 115, 104540.</t>
  </si>
  <si>
    <t>Burté, L., Cravotta, C.A. III, Bethencourt, L., Farasin, J., Pédrot, M., Dufrense, Al, Gérard, M.-F., Baranger, C.C., Le Borgne, T., Aquilina, L.</t>
  </si>
  <si>
    <t>Environmental Science &amp; Technology 53, 5848-5857.</t>
  </si>
  <si>
    <t xml:space="preserve">U.S. Geological Survey Scientific Investigations Report 2018-5170, 66 p. </t>
  </si>
  <si>
    <t>McDevitt, B., McLaughlin, M., Cravotta, C.A. III, Ajemigbitsea, M.A., Van Sice, K.J., Blotevogel, J., Borch, T., Warner, N.R.</t>
  </si>
  <si>
    <t xml:space="preserve">Environmental Science: Processes &amp; Impacts 21, 324-338. </t>
  </si>
  <si>
    <t>Brown, C.J., Barlow, J.R.B., Cravotta, C.A. III, Lindsey, B.D.</t>
  </si>
  <si>
    <t>Applied Geochemistry 101, 88-102.</t>
  </si>
  <si>
    <t>Van Sice, K., Cravotta, C.A. III, McDevitt, B., Tasker, T., Landis, J., Puhr, J., Warner, N.</t>
  </si>
  <si>
    <t>Applied Geochemistry 98, 393-403.</t>
  </si>
  <si>
    <t>Cravotta, C.A., III, Galeone, D.G., Penrod, K.A.</t>
  </si>
  <si>
    <t>U.S. Geological Survey Open-File Report 2018-1125, 21 p.</t>
  </si>
  <si>
    <t>Cravotta III, C.A., Galeone, D.G., Penrod, K.A., Conlon, M.D.</t>
  </si>
  <si>
    <t>U.S. Geological Survey data release.</t>
  </si>
  <si>
    <t>Senior, L.A., Cravotta, C.A. III</t>
  </si>
  <si>
    <t>Cravotta, C.A. III, Sherrod, L., Galeone, D., Lehman, W., Ackman, T., Kramer, A.</t>
  </si>
  <si>
    <t>Environmental &amp; Engineering Geoscience 23, no. 4, 243-273.</t>
  </si>
  <si>
    <t>Burrows, J.E., Cravotta, C.A. III, Peters, S.C.</t>
  </si>
  <si>
    <t>Applied Geochemistry 78, 194-210.</t>
  </si>
  <si>
    <t>Zhou, Jianping, Wang, Hongmei, Cravotta, C.A. III, Dong, Qiang, Xiang, Xing</t>
  </si>
  <si>
    <t>Geomicrobiology Journal 34, no. 5, 421-433.</t>
  </si>
  <si>
    <t>Gross, E.L.Cravotta, C.A. III</t>
  </si>
  <si>
    <t>U.S. Geological Survey Scientific Investigations Report 2016-5143, 72 p.</t>
  </si>
  <si>
    <t>Senior, L.A., Cravotta, C.A., III, Sloto, R.A.</t>
  </si>
  <si>
    <t>U.S. Geological Survey Scientific Investigations Report 2016-5073, 136 p.</t>
  </si>
  <si>
    <t>Bigham, J.M., Cravotta, C.A. III</t>
  </si>
  <si>
    <t>Encyclopedia of Soil Science, Taylor &amp; Francis LLC, 6-10.</t>
  </si>
  <si>
    <t>Cravotta, C.A. III, Brady, K.B.C.</t>
  </si>
  <si>
    <t>Applied Geochemistry 62, 108-130.</t>
  </si>
  <si>
    <t>Burrows, J.E., Peters, S.C., Cravotta C.A. III</t>
  </si>
  <si>
    <t>Applied Geochemistry 62, 84-95.</t>
  </si>
  <si>
    <t>Applied Geochemistry 62, 96-107.</t>
  </si>
  <si>
    <t>Cravotta, C.A. III, Means, B.,  Arthur, W., McKenzie, R., Parkhurst, D.L.</t>
  </si>
  <si>
    <t>Mine Water and the Environment 34, 136-152.</t>
  </si>
  <si>
    <t>Cull, Selby, Cravotta, C.A. III, Klinges, J.G., Weeks, Chloe</t>
  </si>
  <si>
    <t>Earth and Planetary Science Letters 403, 217-224.</t>
  </si>
  <si>
    <t>Lindsey, B.D., Zimmerman, T.M., Chapman, M.J., Cravotta, C.A. III, Szabo, Zoltan</t>
  </si>
  <si>
    <t>Cravotta, C.A. III, Goode, D.J., Bartles, M.D., Risser, D.W., Galeone, D.G.</t>
  </si>
  <si>
    <t>Hydrological Processes 28, 3574-3601.</t>
  </si>
  <si>
    <t>Chapman, M.J., Cravotta, C.A. III, Szabo, Zoltan, Lindsey, B.D.</t>
  </si>
  <si>
    <t>Cravotta, C.A. III, Geroni, J.N.</t>
  </si>
  <si>
    <t xml:space="preserve">Proceedings International Mine Water Association 2013 Symposium, Golden, Colorado, 949-954. </t>
  </si>
  <si>
    <t>Proceedings International Mine Water Association 2013 Symposium, Golden, Colorado, 319-324.</t>
  </si>
  <si>
    <t>Wang, H., Gong, L., Cravotta, C.A. III, Yang, X., Tuovinen, O.H., Dong, H., Fu, X.</t>
  </si>
  <si>
    <t>Journal of Hazardous Materials, vols. 244-245, 718-725</t>
  </si>
  <si>
    <t>Han, Y., Wang, G., Cravotta, C.A. III, Hu, W., Bian, Y., Zhang, Z., Liu, Y.</t>
  </si>
  <si>
    <t xml:space="preserve">Hydrological Processes 27, 2247-2257. </t>
  </si>
  <si>
    <t>Geroni, J.N., Cravotta, C.A. III, Sapsford, D.J.</t>
  </si>
  <si>
    <t>Applied Geochemistry 27, 2335-2347.</t>
  </si>
  <si>
    <t>Liu, D., Wang, H., Dong, H., Qiua, X., Dong, X., Cravotta, C.A. III</t>
  </si>
  <si>
    <t>Chemical Geology 288, 53-60.</t>
  </si>
  <si>
    <t>Cravotta, C.A. III, Parkhurst, D.L., Means, B., McKenzie, R., Arthur, W.</t>
  </si>
  <si>
    <t>Goode, D.J., Cravotta, C.A. III, Hornberger, R.J., Hewitt, M.A., Hughes, R.E., Koury., D.J., Eicholtz, L.W.</t>
  </si>
  <si>
    <t xml:space="preserve">U.S. Geological Survey Scientific Investigations Report 2010-5261, 54 p. </t>
  </si>
  <si>
    <t>Denver, J.M., Cravotta, C.A. III, Ator, S.W., Lindsey, B.D.</t>
  </si>
  <si>
    <t xml:space="preserve">U.S. Geological Survey Scientific Investigations Report 2010-5176, 38 p. </t>
  </si>
  <si>
    <t xml:space="preserve">Mine Water and the Environment 29, 200-216. </t>
  </si>
  <si>
    <t>Cravotta, C.A. III, Brightbill, R.A., Langland, M.J.</t>
  </si>
  <si>
    <t xml:space="preserve">Mine Water and the Environment 29, 176-199. </t>
  </si>
  <si>
    <t>Cravotta, C.A. III, Parkhurst, D.L., Means, B., McKenzie, R., Morris, H., Arthur, W.</t>
  </si>
  <si>
    <t xml:space="preserve">Proceedings 2010 National Meeting of the American Society of Mining and Reclamation, Pittsburgh, PA, 1413-1436. </t>
  </si>
  <si>
    <t>Sibrell, P.L., Cravotta, C.A. III, Lehman, W.G., Reichert, W.</t>
  </si>
  <si>
    <t xml:space="preserve">Proceedings 2010 National Meeting of the American Society of Mining and Reclamation, Pittsburgh, PA, 1085-1100. </t>
  </si>
  <si>
    <t>Hammarstrom, J.M., Cravotta, C.A. III, Galeone, D., Jackson, J.J., Dulong, F.</t>
  </si>
  <si>
    <t xml:space="preserve">Hornberger, R.J., and Brady, K.B.C., eds., The development and interpretation of the ADTI-WP2 leaching column method (kinetic test procedure for the prediction of coal mine drainage quality) EPA method 1627: U.S. Office of Surface Mining Reclamation and Enforcement CT-5-30040, 61-111, plus appendices 5.1, 5.2, and 5.3. </t>
  </si>
  <si>
    <t xml:space="preserve">Applied Geochemistry 23, 166-202. </t>
  </si>
  <si>
    <t xml:space="preserve">Applied Geochemistry 23, 203-226. </t>
  </si>
  <si>
    <t xml:space="preserve">Applied Geochemistry 23, 3404-3422. </t>
  </si>
  <si>
    <t>Cravotta, C.A. III, Nantz, J.M.</t>
  </si>
  <si>
    <t xml:space="preserve">Proceedings National Meeting of the American Society of Mining and Reclamation, Richmond VA, New Opportunities to Apply Our Science June 14-19, 2008: American Society of Mining and Reclamation, 223-252. </t>
  </si>
  <si>
    <t>Cravotta, C.A. III, Ward, S.J.</t>
  </si>
  <si>
    <t>Mine Water and the Environment 27, 67-85.</t>
  </si>
  <si>
    <t>Cravotta, C.A. III, Ward, S.J., Hammarstrom, J.M.</t>
  </si>
  <si>
    <t>Mine Water and the Environment 27, 86-99.</t>
  </si>
  <si>
    <t>Chaplin, J.J., Cravotta, C.A. III, Weitzel, J.B., Klemow, K.M.</t>
  </si>
  <si>
    <t xml:space="preserve">Mine Water and the Environment 26, 128-149. </t>
  </si>
  <si>
    <t xml:space="preserve">Proceedings 7th ICARD, March 26-30, 2006, St. Louis, Missouri: American Society of Mine Reclamation, 378-404. </t>
  </si>
  <si>
    <t>Guangcai, Wang, Zuochen, Z., Min, W., Cravotta, C.A. III, Chenglong, L.</t>
  </si>
  <si>
    <t xml:space="preserve">Ground Water 43, 478-484. </t>
  </si>
  <si>
    <t>https://doi.org/10.1111/j.1745-6584.2005.0037.x</t>
  </si>
  <si>
    <t xml:space="preserve">Hammarstrom, J.M., Brady, K.B.C., Cravotta, C.A. III </t>
  </si>
  <si>
    <t xml:space="preserve">Kirby, C.S., Cravotta, C.A. III </t>
  </si>
  <si>
    <t xml:space="preserve">Applied Geochemistry 20, 1920-1940. </t>
  </si>
  <si>
    <t xml:space="preserve">Applied Geochemistry 20, 1941-1964. </t>
  </si>
  <si>
    <t>Cravotta, C.A. III, Kirby, C.S.</t>
  </si>
  <si>
    <t xml:space="preserve">Proceedings 2004 National Meeting of the American Society of Mining and Reclamation and the 25th West Virginia Surface Mine Drainage Task Force, April 18-24, 2004: American Society of Mine Reclamation, 334-365. </t>
  </si>
  <si>
    <t>Cravotta, C.A. III, Ward, S.J., Koury, D.J., Koch, R.D.</t>
  </si>
  <si>
    <t xml:space="preserve">Proceedings 2004 National Meeting of the American Society of Mining and Reclamation and the 25th West Virginia Surface Mine Drainage Task Force, April 18-24, 2004: American Society of Mine Reclamation, 366-411. </t>
  </si>
  <si>
    <t xml:space="preserve">Proceedings 2004 National Meeting of the American Society of Mining and Reclamation and the 25th West Virginia Surface Mine Drainage Task Force, April 18-24, 2004: American Society of Mine Reclamation, 1076-1093. </t>
  </si>
  <si>
    <t xml:space="preserve">Journal of Environmental Quality 32, 1277-1289. </t>
  </si>
  <si>
    <t>Cravotta, C.A. III, Watzlaf, G.R.</t>
  </si>
  <si>
    <t xml:space="preserve">Naftz, D.L., Morrison, S.J., Fuller, C.C., and Davis, J.A., eds., Handbook of groundwater remediation using permeable reactive barriers--Application to radionuclides, trace metals, and nutrients: San Diego, Ca., Academic Press, 19-66. </t>
  </si>
  <si>
    <t xml:space="preserve">Proceedings 19th Annual Meeting of American Society of Mining &amp; Reclamation, Lexington, Kentucky, June 9-13, 2002: American Society of Mining &amp; Reclamation, 1062-1064. </t>
  </si>
  <si>
    <t>Cravotta, C.A. III, Bilger, M.D., Brightbill, R.A., Bogar, D.</t>
  </si>
  <si>
    <t xml:space="preserve">Proceedings 19th Annual Meeting of American Society of Mining &amp; Reclamation, Lexington, Kentucky, June 9- 13, 2002: American Society of Mining &amp; Reclamation, 1061. </t>
  </si>
  <si>
    <t>Williams, D.J., Bigham, J.M., Cravotta, C.A. III, Traina, S.J., Anderson, J.E., Lyon, G.</t>
  </si>
  <si>
    <t>Applied Geochemistry 17, 1273-1286.</t>
  </si>
  <si>
    <t>Cravotta, C.A. III, Bilger, M.D.</t>
  </si>
  <si>
    <t xml:space="preserve">Geochemistry, Exploration, Environment, Analysis 1, 33-50. </t>
  </si>
  <si>
    <t>Cravotta, C.A. III, Weitzel, J.B.</t>
  </si>
  <si>
    <t>Proceedings Fifth International Conference on Acid Rock Drainage: Littleton, Co., Society for Mining, Metallurgy, and Exploration, Inc. 1, 401-410.</t>
  </si>
  <si>
    <t>Robbins, E.I., Anderson, J.E., Cravotta, C.A. III, Nord, G.L., Jr., Slonecker, E.T.</t>
  </si>
  <si>
    <t xml:space="preserve">Proceedings Fifth International Conference on Acid Rock Drainage: Littleton, Co., Society for Mining, Metallurgy, and Exploration, Inc. 2, 1551-1559. </t>
  </si>
  <si>
    <t>Cravotta, C.A. III, Hilgar, G.M.</t>
  </si>
  <si>
    <t xml:space="preserve">Acid Drainage Technology Initiative, Morgantown, W.V., National Mine Land Reclamation Center, 195-218. </t>
  </si>
  <si>
    <t>Landa, E.R., Cravotta, C.A. III, Naftz, D.L., Verplanck, P.L., Nordstrom, D.K.,Zielinski, R.A.</t>
  </si>
  <si>
    <t xml:space="preserve">Gesell, T.F., and Simon, S.L., eds., Environmental exposure--Fact versus fiction: Technology 7, nos. 2-4, 381-396. </t>
  </si>
  <si>
    <t>Cravotta, C.A. III, Trahan, M.K.</t>
  </si>
  <si>
    <t>Applied Geochemistry 14, no. 5, 581-606.</t>
  </si>
  <si>
    <t>https://doi.org/10.1016/S0883-29279800066-3</t>
  </si>
  <si>
    <t>Cravotta, C.A. III, Brady, K.B.C., Rose, A.W., Douds, J.B.</t>
  </si>
  <si>
    <t xml:space="preserve">Morganwalp, D.W., and Buxton, H., eds., U.S. Geological Survey Toxic Substances Hydrology Program--Proceedings Technical Meeting, Charleston, South Carolina, March 8-12, 1999: U.S. Geological Survey Water-Resources Investigations Report 99- 4018A, 313-324. </t>
  </si>
  <si>
    <t>Landa, E.R., Cravotta, C.A. III, Naftz, D.L., Verplanck, P.L., Nordstrom, D.K., Zielinski, R.A.</t>
  </si>
  <si>
    <t>Robbins, E.I., Cravotta, C.A. III, Savela, C.E., Nord, G.L., Jr.</t>
  </si>
  <si>
    <t xml:space="preserve">Fuel 78, 259-270. </t>
  </si>
  <si>
    <t>Ground Water 36, no. 1, 9-19.</t>
  </si>
  <si>
    <t xml:space="preserve">Rose, A.W., Cravotta, C.A. III </t>
  </si>
  <si>
    <t xml:space="preserve">Brady, K.B.C., Smith, M.W., and Schueck, J., eds., Coal Mine Drainage Prediction and Pollution Prevention in Pennsylvania: Harrisburg, Pa., Pennsylvania Department of Environmental Protection, 5600-BK-DEP2256, 1.1- 1.22 </t>
  </si>
  <si>
    <t xml:space="preserve">Marcus, J.J., ed., Mining Environmental Handbook: London, Imperial College Press, Chapter 12, Section 12.3.2, 582-583. </t>
  </si>
  <si>
    <t>Robbins, E.I., Cravotta, C.A. III, Savela, C.E., Nord, G.L., Jr., Balciauskas, K.A., Belkin, H.E.</t>
  </si>
  <si>
    <t xml:space="preserve">International Ash Utilization Symposium, 546-559. </t>
  </si>
  <si>
    <t xml:space="preserve">Proceedings 13th Annual Meeting of the American Society for Surface Mining and Reclamation, Knoxville, TN, May 19-25, 1996, 836-840. </t>
  </si>
  <si>
    <t xml:space="preserve">Guo, W., Cravotta, C.A. III </t>
  </si>
  <si>
    <t xml:space="preserve">Proceedings 13th Annual Meeting of the American Society for Surface Mining and Reclamation, Knoxville, TN, May 19-25, 1996, 3-14. </t>
  </si>
  <si>
    <t>Robbins, E.I., Anderson, J.E., Cravotta, C.A. III, Koury, D.J., Podwysocki, M.H., Stanton, M.R., Growitz, D.J.</t>
  </si>
  <si>
    <t>Chiang, S.-H., ed., Proceedings 13th Annual International Pittsburgh Coal Conference 2, 768-775.</t>
  </si>
  <si>
    <t xml:space="preserve">Baedecker, M.J., Back, William, Cravotta, C.A. III </t>
  </si>
  <si>
    <t>Carter, L.M.H., ed., Energy and the environment--application of geosciences to decision making: U.S. Geological Survey Circular 1108, 34-36.</t>
  </si>
  <si>
    <t xml:space="preserve">Alpers, C.N., and Blowes, D.W., eds., Environmental geochemistry of sulfide oxidation: Washington, D.C., American Chemical Society Symposium Series 550, 345-364. </t>
  </si>
  <si>
    <t>Cravotta, C.A. III, Brady, K.B.C., Gustafson-Minnich, L.C., DiMatteo, M.R.</t>
  </si>
  <si>
    <t>U.S. Bureau of Mines Special Publication SP 06B, 242-249.</t>
  </si>
  <si>
    <t>Cravotta, C.A. III, Dugas, D.L., Brady, K.B.C., Kovalchuk, T.E.</t>
  </si>
  <si>
    <t>U.S. Bureau of Mines Special Publication SP 06A, 365-374.</t>
  </si>
  <si>
    <t>Dugas, D.L., Cravotta, C.A. III, Saad, D.A.</t>
  </si>
  <si>
    <t xml:space="preserve">Brady, K.B.C., Cravotta, C.A. III </t>
  </si>
  <si>
    <t xml:space="preserve">Proceedings 1991 National Meeting of the American Society for Surface Mining and Reclamation, May 14-17, 1991, Durango, Co.: American Society for Surface Mining and Reclamation, 43-68. </t>
  </si>
  <si>
    <t xml:space="preserve">Brady, K.B.C., Smith, M.W., Beam, R.L., Cravotta, C.A. III </t>
  </si>
  <si>
    <t xml:space="preserve">Proceedings 1990 Mining and Reclamation Conference and Exhibition: Morgantown, W.V., West Virginia University 1, 226-241. </t>
  </si>
  <si>
    <t>Cravotta, C.A. III, Brady, K.B.C., Smith, M.W., Beam, R.L.</t>
  </si>
  <si>
    <t xml:space="preserve">Proceedings 1990 Mining and Reclamation Conference and Exhibition: Morgantown, W.V., West Virginia University 1, 221-225. </t>
  </si>
  <si>
    <t>Proceedings Ground Water Geochemistry Conference: Dublin, Ohio, National Water Well Association, 103-126.</t>
  </si>
  <si>
    <t>Knierim, K.J., Stackelberg, P.E., McCleskey, R.B., Cravotta, C.A. III,  Belitz, K., Killian, C.D. (2026) Random forest predictions of total dissolved solids in groundwater in three dimensions across the continental United States: Water Resources Research, submitted ()</t>
  </si>
  <si>
    <t>Stackelberg, P.E., Knierim, K.J., Belitz, K., Cravotta, C.A. III, McCleskey, R.B., Killian, C.D. (2026) Predicting groundwater hydrochemical facies in three dimensions across the conterminous United States with random forest classification: Groundwater, submitted ()</t>
  </si>
  <si>
    <t>Boothe-Lordon, T.J.Cravotta, C.A. III, Tasker, T.L., Stewart, B.W., Capo, R.C., Hedin, B. (2026) Geochemical modeling of rare earth element adsorption onto aluminum hydroxide and hydroxysulfate under variable sulfate conditions: Chemosphere, submitted ()</t>
  </si>
  <si>
    <t>Tasker, T.L., Cravotta, C.A. III, Roman, B. (2026) Sorption of rare-earth elements with hydrous ferric oxide and hydrous aluminum oxide--Roles of sulfate and pH: Chemosphere, submitted (http://dx.doi.org/10.2139/ssrn.6208107)</t>
  </si>
  <si>
    <t>Roman, B., Cravotta, C.A. III, Spellman Jr., C.J., Strosnider, W.H.J., Goodwill, J.E., Tasker, T.L. (2026) Enhanced phosphorus removal via cotreatment of mine drainage during primary municipal wastewater clarification: Ecological Engineering 98 (2) e70298 (https://doi.org/10.1002/wer.70298)</t>
  </si>
  <si>
    <t>McCleskey, B.R., Cravotta, C.A. III, Knierim, K., Stackelberg, P.E., Killian, C. (2026) Groundwater salinity:  Applying the specific conductance and water type proxy: Groundwater 64 (2) 150-160 (https://doi.org/10.1111/gwat.70038)</t>
  </si>
  <si>
    <t>Hayes, B., Zhu, W., Dawes, R.J., Cravotta, C.A., Hughes, R., Moyer, G., Tasker, T., Shallenberger, J., Dawes, J. (2025) Nutrient reductions as co-benefit of acid mine drainage (AMD) treatment: Quantifying nutrient load reductions for restored stream segments in AMD-impacted watersheds: Chesapeake Bay Program Scientific and Technical Advisory Committee (STAC) Publication Number 25-002, 44 p.  (https://www.chesapeake.org/stac/wp-content/uploads/2025/04/STAC-Technical-Review_Acid-Mine-Drainage_25-002.pdf )</t>
  </si>
  <si>
    <t>McCleskey, R.B., Cravotta, C.A. III, Miller, M.P., Chapin, T.W., Tillman, F., Keith, G.L. (2025) Specific conductance and water type as a proxy model for salinity and total dissolved solids measurements in the Upper Colorado River Basin: Applied Geochemistry 184, 106358. (https://doi.org/10.1016/j.apgeochem.2025.106358 )</t>
  </si>
  <si>
    <t>Vesper, D.J., Cravotta, C.A. III, Lei, L., Wallace, M., Schaffer, C.R. (2025) Determination of CO2 and DIC in high-CO2 waters:  An application for the analysis of coal mine waters: Applied Geochemistry 183, 106336. (https://doi.org/10.1016/j.apgeochem.2025.106336 )</t>
  </si>
  <si>
    <t>Araújo, J.F., Cravotta, C.A. III, Fonseca, R., da Silva, R.P., Prats, A.S., Valente, T. (2025) Acid mine drainage remediation with waste products: Laboratory findings and field model applications: Proceedings 2025 International Mine Water Association Conference, Braga, Portugal, 70-76. (https://www.imwa.info/docs/imwa_2025/IMWA2025_Araujo_70.pdf )</t>
  </si>
  <si>
    <t>Barroso, A.R., Cravotta, C.A. III, Gomes, P., Horta Ribeiro, I.M., Marinho Reis, A.P., Valente, T.M. (2025) Improved acidity estimation by integrating comprehensive dissolved metal(oid)s data: A geochemical modeling case study of highly mineralized mine waters: Proceedings 2025 International Mine Water Association Conference, Braga, Portugal, 97-101. (https://www.imwa.info/docs/imwa_2025/IMWA2025_Barroso_97.pdf )</t>
  </si>
  <si>
    <t>Cravotta, C.A. III (2025) Water-quality modeling tools to evaluate attenuation of dissolved constituents by precipitation and adsorption reactions during treatment of acid mine drainage: Proceedings 2025 International Mine Water Association Conference, Braga, Portugal, 208-213.  (https://www.imwa.info/docs/imwa_2025/IMWA2025_CravottaIII_208.pdf )</t>
  </si>
  <si>
    <t>McDevitt, B., Cravotta, C.A. III, McAleer, R.J., Jackson, J.C., Jubb, A.M., Jolly, G.D., Hedin, B.C., Warner, N.R. (2024) Evaluation of coal mine drainage and associated precipitates for radium and rare earth element concentrations: International Journal of Coal Geology 28, 104547. (https://doi.org/10.1016/j.coal.2024.104547)</t>
  </si>
  <si>
    <t>Cravotta, C.A. III (2024) Geochemical modeling to understand and mitigate aquatic contamination by abandoned mine drainage: Proceedings of the West Virginia Mine Drainage Task Force Symposium &amp; 15th International Mine Water Association Congress, Morgantown, WV, USA, 91-97. (https://www.imwa.info/docs/imwa_2024/IMWA2024_CravottaIII_91.pdf)</t>
  </si>
  <si>
    <t>Cravotta, C.A. III, Tasker, T.L., Hedin, B.C. (2024) Laboratory and field observations inform geochemical models of treatment strategies to recover rare-earth elements from acid mine drainage: Proceedings of the West Virginia Mine Drainage Task Force Symposium &amp; 15th International Mine Water Association Congress, Morgantown, WV, USA, 98-104.  (https://www.imwa.info/docs/imwa_2024/IMWA2024_CravottaIII_98.pdf)</t>
  </si>
  <si>
    <t>Schaffer, C.R., Cravotta, C.A. III, Capo, R.C., Stewart, B.W., Hedin, B.C., Vesper, D.J. (2024) Coal mine drainage contaminant trend prediction in an Appalachian basin, USA: Proceedings of the West Virginia Mine Drainage Task Force Symposium &amp; 15th International Mine Water Association Congress, Morgantown, WV, USA, 555-561.  (https://www.imwa.info/docs/imwa_2024/IMWA2024_Schaffer_555.pdf)</t>
  </si>
  <si>
    <t>Vesper, D.J, Cravotta, C.A. III, Fredrick, K., Herman, E.K., Lei, L., Riddell, J.L., Bell, M.L., Rockwell, L.J., Schaffer, C.R. (2024) The release of dissolved inorganic carbon (DIC) and CO₂ from coal mine drainages: Proceedings of the West Virginia Mine Drainage Task Force Symposium &amp; 15th International Mine Water Association Congress, Morgantown, WV, USA, 625-626. (https://www.imwa.info/docs/imwa_2024/IMWA2024_Vesper_625.pdf)</t>
  </si>
  <si>
    <t>Cravotta, C.A. III (2024) Interactive PHREEQ-N-Ra-Cl-pH-Titration water-quality modeling tools to evaluate potential aqueous/solid equilibrium distributions of radium and associated dissolved constituents in response to changes in salinity or pH (software download): : U.S. Geological Survey Software Release. (https://doi.org/10.5066/P9157D7U)</t>
  </si>
  <si>
    <t>Schaffer, C.R., Cravotta, C.A. III, Capo, R.C., Hedin, B.C., Vesper, D.J., Stewart, B.W. (2024) Multi-decadal geochemical evolution of drainage from underground coal mines in the Appalachian basin, USA: Science of the Total Environment 947, 174681. (https://doi.org/10.1016/j.scitotenv.2024.174681)</t>
  </si>
  <si>
    <t>Marks, N.J., Cravotta, C.A. III, Rossi, M.L., Silva, C., Kremer, P., Goldsmith, S. (2024) Exploring spatial and temporal symptoms of the freshwater salinization syndrome in a rural to urban watershed: Science of the Total Environment 947, 174266. (https://doi.org/10.1016/j.scitotenv.2024.174266)</t>
  </si>
  <si>
    <t>Clune, J.W., Cravotta, C.A. III, Husic, A., Dozier, H.J., Schimdt, K.E. (2024) Complex hydrology and variability of nitrogen sources in a karst watershed: Journal of Environmental Quality 53, 492-507. (https://doi.org/10.1002/jeq2.20578)</t>
  </si>
  <si>
    <t>Cravotta, C.A. III, Tasker, T.L., Smyntek, P.M., Blomquist, J.D., Clune, J.W., Zhang, Q., Schmadel, N.M., Schmer, N.K. (2024) Legacy sediment as a potential source of orthophosphate: Preliminary conceptual and geochemical models for the Susquehanna River, Chesapeake Bay Watershed, USA: Science of the Total Environment 912, 169361. (https://doi.org/10.1016/j.scitotenv.2023.169361)</t>
  </si>
  <si>
    <t>Hedin, B.C., Stuckman, M.Y., Cravotta C.A. III, Lopano, C.L., Capo, R.C. (2024) Determination and prediction of micro scale rare earth element geochemical associations in mine drainage treatment wastes: Chemosphere 346, 147475. (https://doi.org/10.1016/j.chemosphere.2023.140475)</t>
  </si>
  <si>
    <t>Rossi, M.L., Kremer, P., Cravotta, C.A., Seng, K.E., Goldsmith, S.T. (2023) Land development and road salt usage drive long-term changes in major-ion chemistry of streamwater in six exurban and suburban watersheds, southeastern Pennsylvania, 1999–2019: Frontiers in Environmental Science 11, 1153133. (https://doi.org/10.3389/fenvs.2023.1153133)</t>
  </si>
  <si>
    <t>McCleskey, R.B., Cravotta C.A. III, Miller, M.P., Tillman, F., Stackelberg, P., Knierim, K.J., Wise, D.R. (2023) Salinity and total dissolved solids measurements for natural waters: an overview and a new salinity estimation method based on specific conductance measurements and water ty: Applied Geochemistry 154 105684. (https://doi.org/10.1016/j.apgeochem.2023.105684)</t>
  </si>
  <si>
    <t>Szabo, Z., Cravotta, C.A. III, Stackelberg, P.E., Belitz, K. (2023) Gross alpha-particle activity regulation might not be protective for 210Po in the Atlantic and Gulf Coastal Plain aquifers of the United States: ES&amp;T Water 3, 262-274. (https://doi.org/10.1021/acsestwater.2c00027)</t>
  </si>
  <si>
    <t>Cravotta, C.A. III (2022) PHREEQ-N-AMDTreat+REYS water-quality modeling tools to evaluate acid mine drainage treatment strategies for recovery of rare-earth elements: Proceedings of the 12th International Conference on Acid Mine Drainage, online. 18-24 September 2022, 788-804. (https://drive.google.com/file/d/1H07fhUBKaqLFTQl5DwYH-bxOHWctIdbJ/view)</t>
  </si>
  <si>
    <t>Hedin, B.C., Cravotta, C.A., Stuckman, M.Y., Lopano, C.L., Capo, R.C., Hedin, R.S. (2022) Determination and prediction of rare earth element geochemical associations in acid mine drainage treatment wastes: Proceedings of the 12th International Conference on Acid Mine Drainage, online. 18-24 September 2022, 626-633. (https://drive.google.com/file/d/1H07fhUBKaqLFTQl5DwYH-bxOHWctIdbJ/view)</t>
  </si>
  <si>
    <t>Rossi, M.L., Kremer, Peleg, Cravotta, C.A., Scheirer, K.E., Goldsmith, S.T. (2022) Long-term impacts of impervious surface cover change and roadway deicing agent application on chloride concentrations in exurban and suburban watersheds: Science of the Total Environment 851, 157933. (https://doi.org/10.1016/j.scitotenv.2022.157933)</t>
  </si>
  <si>
    <t>Cravotta, C.A. III (2022) Interactive PHREEQ-N-AMDTreat+REYs water-quality modeling tools to evaluate potential attenuation of rare-earth elements and associated dissolved constituents by aqueous-solid equilibrium processes (software download): U.S. Geological Survey Software Release.  (https://doi.org/10.5066/P9M5QVK0)</t>
  </si>
  <si>
    <t>Spellman, C.J. Jr., Smyntek, P.M., Cravotta, C.A. III, Tasker, T.L., Strosnider, W.H.J. (2022) Pollutant co-attenuation via in-stream interactions between mine drainage and municipal wastewater: Water Research 214, 118173. (https://doi.org/10.1016/j.watres.2022.118173)</t>
  </si>
  <si>
    <t>Smyntek, P., Lamagna, N., Cravotta, C.A. III, Strosnider, W.H.J. (2022) Mine drainage precipitates attenuate and conceal wastewater-derived phosphate pollution in stream water: Science of the Total Environment 815, 152672. (http://dx.doi.org/10.1016/j.scitotenv.2021.152672)</t>
  </si>
  <si>
    <t>Cravotta, C.A. III, Senior, L.A., Conlon, M.D. (2022) Factors affecting groundwater quality used for domestic supply in Marcellus Shale region of north-central and north-east Pennsylvania, USA: Applied Geochemistry 137, 105149. (https://doi.org/10.1016/j.apgeochem.2021.105149)</t>
  </si>
  <si>
    <t>Lindsey, B.D., Cravotta, C.A. III, Szabo, Z., Belitz, K., Stackelberg, P.E. (2021) Relation between road-salt application and increasing radium concentrations in a low-pH aquifer, southern New Jersey: ES&amp;T Water 1, 2541-2547. (https://doi.org/10.1021/acsestwater.1c00307)</t>
  </si>
  <si>
    <t>Cravotta, C.A. III (2021) Interactive PHREEQ-N-Titration-PO4-Adsorption water-quality modeling tools to evaluate potential attenuation of phosphate and associated dissolved constituents by aqueous-solid equilibrium processes (software download): U.S. Geological Survey Software Release.  (https://doi.org/10.5066/P9D8VQDV)</t>
  </si>
  <si>
    <t>Erickson, M.L., Elliott, S.M., Brown, C.J., Stackelberg, P.E., Ransom, K.M., Reddy, J.E., Cravotta, C.A. III  (2021) Machine-learning predictions of high arsenic and high manganese at drinking water depths of the Glacial Aquifer System, northern continental United States: Environmental Science &amp; Technology 55, 5791-5805. (https://doi.org/10.1021/acs.est.0c06740)</t>
  </si>
  <si>
    <t>Cravotta, C.A. III (2021) Interactive PHREEQ-N-AMDTreat water-quality modeling tools to evaluate performance and design of treatment systems for acid mine drainage: Applied Geochemistry 126, 10845. (https://doi.org/10.1016/j.apgeochem.2020.104845)</t>
  </si>
  <si>
    <t>Lindsey, B.D., Belitz, Kenneth, Cravotta, C.A. III, Dubrovsky, N.M., Toccalino, Patricia (2021) Lithium in groundwater used for drinking-water supply in the United States: Science of the Total Environment 767, 144691.  (https://doi.org/10.1016/j.scitotenv.2020.144691)</t>
  </si>
  <si>
    <t>Cravotta, C.A. III (2020) Interactive PHREEQ-N-AMDTreat water-quality modeling tools to evaluate performance and design of treatment systems for acid mine drainage (software download): U.S. Geological Survey Software Release.  (https://doi.org/10.5066/P9QEE3D5)</t>
  </si>
  <si>
    <t>Galeone, D.G., Cravotta, C.A. III, Risser, D.W. (2020) Groundwater quality in relation to drinking water health standards and hydrogeologic and geochemical characteristics for 47 domestic wells in Potter County, Pennsylvania, 2017: U.S. Geological Survey Scientific Investigations Report 2020-5038, 67 p. (https://doi.org/10.3133/sir20205038)</t>
  </si>
  <si>
    <t>Szabo, Z., Stackelberg, P.E., Cravotta, C.A. III (2020) Occurrence and geochemistry of lead-210 and polonium-210 radionuclides in public drinking water supplies from principal aquifers of the United States: Environmental Science &amp; Technology 54, 7236-7249. (https://doi.org/10.1021/acs.est.0c00192)</t>
  </si>
  <si>
    <t>Clune, J.W., Cravotta, C.A. III (2020) Groundwater quality in relation to drinking water health standards and geochemical characteristics for 54 domestic wells in Clinton County, Pennsylvania, 2017: U.S. Geological Survey Scientific Investigations Report 2020-5022, 72 p. (https://doi.org/10.3133/sir20205022)</t>
  </si>
  <si>
    <t>Castillo-Meza, L.E., Cravotta, C.A. III, Tasker, T.L., Warner, N.R., Daniels, W.L., Orndorff, Z.W., Bergstresser, T., Douglass, A., Kimble, G., Streczywilk, J., Barton, C., Fulton, S., Thompson A., Burgos, W.D. (2020) Batch extraction method to estimate total dissolved solids (TDS) release from coal refuse and overburden: Applied Geochemistry 115, 104540. (https://doi.org/10.1016/j.apgeochem.2020.104540)</t>
  </si>
  <si>
    <t>Burté, L., Cravotta, C.A. III, Bethencourt, L., Farasin, J., Pédrot, M., Dufrense, Al, Gérard, M.-F., Baranger, C.C., Le Borgne, T., Aquilina, L. (2019) Kinetic study on clogging of a geothermal pumping well triggered by mixing-induced biogeochemical reactions: Environmental Science &amp; Technology 53, 5848-5857. (https://pubs.acs.org/doi/pdf/10.1021/acs.est.9b00453)</t>
  </si>
  <si>
    <t>Clune, J.W., Cravotta, C.A. III (2019) Drinking water health standards comparison and chemical analysis of groundwater for 72 domestic wells in Bradford County, Pennsylvania, 2016: U.S. Geological Survey Scientific Investigations Report 2018-5170, 66 p.  (https://doi.org/10.3133/sir20185170)</t>
  </si>
  <si>
    <t>McDevitt, B., McLaughlin, M., Cravotta, C.A. III, Ajemigbitsea, M.A., Van Sice, K.J., Blotevogel, J., Borch, T., Warner, N.R. (2019) Emerging investigator series: radium accumulation in carbonate river sediments at oil and gas produced water discharges: implications for beneficial use as disposal management: Environmental Science: Processes &amp; Impacts 21, 324-338.  (https://doi.org/10.1039/c8em00336j)</t>
  </si>
  <si>
    <t>Brown, C.J., Barlow, J.R.B., Cravotta, C.A. III, Lindsey, B.D. (2019) Factors affecting the occurrence of lead and manganese in untreated drinking water from Atlantic and Gulf Coastal Plain aquifers, eastern United States—Dissolved oxygen and pH framework for evaluating risk of elevated concentrations: Applied Geochemistry 101, 88-102. (https://doi.org/10.1016/j.apgeochem.2018.10.017)</t>
  </si>
  <si>
    <t>Van Sice, K., Cravotta, C.A. III, McDevitt, B., Tasker, T., Landis, J., Puhr, J., Warner, N. (2018) Radium attenuation and mobilization in stream sediments following oil and gas wastewater disposal in western Pennsylvania: Applied Geochemistry 98, 393-403. (https://doi.org/10.1016/j.apgeochem.2018.10.011)</t>
  </si>
  <si>
    <t>Cravotta, C.A., III, Galeone, D.G., Penrod, K.A. (2018) Hydrologic characteristics and water quality of headwater streams and wetlands at the Allegheny Portage Railroad National Historic Site, Summit area, Blair and Cambria Counties, Pennsylvania, 2014–16: U.S. Geological Survey Open-File Report 2018-1125, 21 p. (https://doi.org/10.3133/ofr20181125)</t>
  </si>
  <si>
    <t>Cravotta III, C.A., Galeone, D.G., Penrod, K.A., Conlon, M.D. (2018) Hydrologic data collected by the U.S. Geological Survey and National Park Service at the Allegheny Portage Railroad National Historic Site, Summit Area, Blair and Cambria Counties, Pennsylvania, April 2014-December 2016: U.S. Geological Survey data release. (https://doi.org/10.5066/P9YWMMHG)</t>
  </si>
  <si>
    <t>Senior, L.A., Cravotta, C.A. III (2017) Baseline assessment of groundwater quality in Pike County, Pennsylvania, 2015: U.S. Geological Survey Scientific Investigations Report 2017-5110, 181 p. (https://doi.org/10.3133/sir20175110)</t>
  </si>
  <si>
    <t>Cravotta, C.A. III, Sherrod, L., Galeone, D., Lehman, W., Ackman, T., Kramer, A. (2017) Hydrological and geophysical investigation of streamflow losses and restoration strategies in an abandoned mine lands setting: Environmental &amp; Engineering Geoscience 23, no. 4, 243-273. (https://doi.org/10.2113/gseegeosci.23.4.243)</t>
  </si>
  <si>
    <t>Burrows, J.E., Cravotta, C.A. III, Peters, S.C. (2017) Enhanced Al and Zn removal from coal-mine drainage during rapid oxidation and precipitation of Fe oxides at near-neutral  pH: Applied Geochemistry 78, 194-210. (https://doi.org/10.1016/j.apgeochem.2016.12.019)</t>
  </si>
  <si>
    <t>Zhou, Jianping, Wang, Hongmei, Cravotta, C.A. III, Dong, Qiang, Xiang, Xing (2017) Dissolution of fluorapatite by Pseudomonas fluorescens P35 resulting in fluorine release: Geomicrobiology Journal 34, no. 5, 421-433. (https://doi.org/10.1080/01490451.2016.1204376)</t>
  </si>
  <si>
    <t>Gross, E.L.Cravotta, C.A. III (2016) Groundwater quality for 75 domestic wells in Lycoming County, 2014: U.S. Geological Survey Scientific Investigations Report 2016-5143, 72 p. (https://doi.org/10.3133/sir20165143)</t>
  </si>
  <si>
    <t>Senior, L.A., Cravotta, C.A., III, Sloto, R.A. (2016) Baseline assessment of groundwater quality in Wayne County, Pennsylvania, 2014: U.S. Geological Survey Scientific Investigations Report 2016-5073, 136 p. (https://doi.org/10.3133/sir20165073)</t>
  </si>
  <si>
    <t>Bigham, J.M., Cravotta, C.A. III (2016) Acid mine drainage: Encyclopedia of Soil Science, Taylor &amp; Francis LLC, 6-10. (https://doi.org/10.1081/E-ESS-120001582)</t>
  </si>
  <si>
    <t>Cravotta, C.A. III, Brady, K.B.C. (2015) Priority Pollutants and associated constituents in untreated and treated discharges from coal mines in Pennsylvania, U.S.A.: Applied Geochemistry 62, 108-130. (https://doi.org/10.1016/j.apgeochem.2015.03.001)</t>
  </si>
  <si>
    <t>Burrows, J.E., Peters, S.C., Cravotta C.A. III (2015) Temporal geochemical variations in above- and below-drainage coal mine discharge: Applied Geochemistry 62, 84-95. (https://doi.org/10.1016/j.apgeochem.2015.02.010)</t>
  </si>
  <si>
    <t>Cravotta, C.A. III (2015) Monitoring, field experiments, and geochemical modeling of Fe(II) oxidation kinetics in a stream dominated by net-alkaline coal-mine drainage, Pennsylvania, U.S.A.: Applied Geochemistry 62, 96-107. (https://doi.org/10.1016/j.apgeochem.2015.02.009)</t>
  </si>
  <si>
    <t>Cravotta, C.A. III, Means, B.,  Arthur, W., McKenzie, R., Parkhurst, D.L. (2015) AMDTreat 5.0+ with PHREEQC titration module to compute caustic chemical quantity, effluent quality, and sludge volume: Mine Water and the Environment 34, 136-152. (https://doi.org/10.1007/s10230-014-0292-6)</t>
  </si>
  <si>
    <t>Cull, Selby, Cravotta, C.A. III, Klinges, J.G., Weeks, Chloe (2014) Spectral masking of goethite in abandoned mine drainage systems: Implications for Mars: Earth and Planetary Science Letters 403, 217-224. (https://doi.org/10.1016/j.epsl.2014.06.045)</t>
  </si>
  <si>
    <t>Lindsey, B.D., Zimmerman, T.M., Chapman, M.J., Cravotta, C.A. III, Szabo, Zoltan (2014) The quality of our Nation’s waters—Water quality in the principal aquifers of the Piedmont, Blue Ridge, and Valley and Ridge regions, eastern United States, 1993–2009: U. S. Geological Survey Circular 1354, 120 p. (https://doi.org/10.3133/cir1354)</t>
  </si>
  <si>
    <t>Cravotta, C.A. III, Goode, D.J., Bartles, M.D., Risser, D.W., Galeone, D.G. (2014) Surface-water and groundwater interactions in an extensively mined watershed, upper Schuylkill River, Pennsylvania, USA: Hydrological Processes 28, 3574-3601. (https://doi.org/10.1002/hyp.9885)</t>
  </si>
  <si>
    <t>Chapman, M.J., Cravotta, C.A. III, Szabo, Zoltan, Lindsey, B.D. (2013) Naturally occurring contaminants in the Piedmont and Blue Ridge crystalline-rock aquifers and Piedmont Early Mesozoic Basin siliciclastic-rock aquifers, eastern United States, 1994-2008: U. S. Geological Survey Scientific Investigations Report 2013-5072, 74 p. (https://doi.org/10.3133/sir20135072)</t>
  </si>
  <si>
    <t>Cravotta, C.A. III, Geroni, J.N. (2013) Effects of CO2 on pH and oxidation rates of Fe(II) in mining affected waters: Proceedings International Mine Water Association 2013 Symposium, Golden, Colorado, 949-954.  (http://www.imwa.info/docs/imwa_2013/IMWA2013_CravottaIII_525.pdf)</t>
  </si>
  <si>
    <t>Cravotta, C.A. III (2013) Apparent rates of Fe(II) oxidation and associated hydrogeochemical interactions in an extensively mined watershed, Pennsylvania, USA: Proceedings International Mine Water Association 2013 Symposium, Golden, Colorado, 319-324. (http://www.imwa.info/docs/imwa_2013/IMWA2013_CravottaIII_461.pdf)</t>
  </si>
  <si>
    <t>Wang, H., Gong, L., Cravotta, C.A. III, Yang, X., Tuovinen, O.H., Dong, H., Fu, X. (2013) Inhibition of bacterial ferrous iron oxidation by lead nitrate in sulfate-rich systems: Journal of Hazardous Materials, vols. 244-245, 718-725 (https://doi.org/10.1016/j.jhazmat.2012.11.004)</t>
  </si>
  <si>
    <t>Han, Y., Wang, G., Cravotta, C.A. III, Hu, W., Bian, Y., Zhang, Z., Liu, Y. (2013) Hydrogeochemical evolution of Ordovician limestone groundwater in Yanzhou, North China: Hydrological Processes 27, 2247-2257.  (https://doi.org/10.1002/hyp.9297)</t>
  </si>
  <si>
    <t>Geroni, J.N., Cravotta, C.A. III, Sapsford, D.J. (2012) Evolution of the chemistry of Fe bearing waters during CO2 degassing: Applied Geochemistry 27, 2335-2347. (https://doi.org/10.1016/j.apgeochem.2012.07.017)</t>
  </si>
  <si>
    <t>Liu, D., Wang, H., Dong, H., Qiua, X., Dong, X., Cravotta, C.A. III (2011) Mineral transformations associated with goethite reduction by Methanosarcina barkeri: Chemical Geology 288, 53-60. (https://doi.org/10.1016/j.chemgeo.2011.06.013)</t>
  </si>
  <si>
    <t>Cravotta, C.A. III, Parkhurst, D.L., Means, B., McKenzie, R., Arthur, W. (2011) Using AMDTreat and PHREEQC titration module for prediction of AMD effluents: Proceedings 32nd Annual Meeting West Virginia Surface Mine Drainage Task Force: Morgantown, W.Va., West Virginia University, 4 p.  (http://wvmdtaskforce.com/proceedings/11/Cravotta.doc)</t>
  </si>
  <si>
    <t>Goode, D.J., Cravotta, C.A. III, Hornberger, R.J., Hewitt, M.A., Hughes, R.E., Koury., D.J., Eicholtz, L.W. (2011) Water budgets and groundwater volumes for abandoned underground mines in the Western Middle Anthracite Coalfield, Schuylkill, Columbia, and Northumberland Counties, Pennsylvania—Preliminary estimates with identification of data needs: U.S. Geological Survey Scientific Investigations Report 2010-5261, 54 p.  (https://doi.org/10.3133/sir20105261)</t>
  </si>
  <si>
    <t>Denver, J.M., Cravotta, C.A. III, Ator, S.W., Lindsey, B.D. (2010) Contributions of phosphorus from groundwater to streams in the Piedmont, Blue Ridge, and Valley and Ridge Physiographic Provinces, Eastern United States: U.S. Geological Survey Scientific Investigations Report 2010-5176, 38 p.  (http://pubs.usgs.gov/sir/2010/5176/)</t>
  </si>
  <si>
    <t>Cravotta, C.A. III  (2010) Abandoned mine drainage in the Swatara Creek Basin, Southern Anthracite Coalfield, Pennsylvania, USA--2. Performance of passive-treatment systems: Mine Water and the Environment 29, 200-216.  (https://doi.org/10.1007/s10230-010-0113-5)</t>
  </si>
  <si>
    <t>Cravotta, C.A. III, Brightbill, R.A., Langland, M.J. (2010) Abandoned mine drainage in the Swatara Creek Basin, Southern Anthracite Coalfield, Pennsylvania, USA--1. Streamwater-quality trends coinciding with the return of fish: Mine Water and the Environment 29, 176-199.  (https://doi.org/10.1007/s10230-010-0112-6)</t>
  </si>
  <si>
    <t>Cravotta, C.A. III, Parkhurst, D.L., Means, B., McKenzie, R., Arthur, W. (2010) Using the computer program AMDTreat with a PHREEQC titration module to compute caustic quantity, effluent quality, and sludge volume: International Mine Water Association 2010 Symposium, Sydney, Nova Scotia, Canada. (http://www.imwa.info/docs/imwa_2010/IMWA2010_CravottaIII_403.pdf)</t>
  </si>
  <si>
    <t>Cravotta, C.A. III, Parkhurst, D.L., Means, B., McKenzie, R., Morris, H., Arthur, W. (2010) A geochemical module for “AMDTreat” to compute caustic quantity, effluent quality, and sludge volume: Proceedings 2010 National Meeting of the American Society of Mining and Reclamation, Pittsburgh, PA, 1413-1436.  (http://www.asmr.us/Publications/Conference%20Proceedings/2010/papers/1413-Cravotta-PA.pdf)</t>
  </si>
  <si>
    <t>Sibrell, P.L., Cravotta, C.A. III, Lehman, W.G., Reichert, W. (2010) Utilization of AMD sludges from the anthracite region of Pennsylvania for removal of phosphorus from wastewater: Proceedings 2010 National Meeting of the American Society of Mining and Reclamation, Pittsburgh, PA, 1085-1100.  (http://www.asmr.us/Publications/Conference%20Proceedings/2010/papers/1085-Sibrell-WV.pdf)</t>
  </si>
  <si>
    <t>Hammarstrom, J.M., Cravotta, C.A. III, Galeone, D., Jackson, J.J., Dulong, F. (2009) Characterization of rock samples and mineralogical controls on leachates: Hornberger, R.J., and Brady, K.B.C., eds., The development and interpretation of the ADTI-WP2 leaching column method (kinetic test procedure for the prediction of coal mine drainage quality) EPA method 1627: U.S. Office of Surface Mining Reclamation and Enforcement CT-5-30040, 61-111, plus appendices 5.1, 5.2, and 5.3.  (http://www.techtransfer.osmre.gov/NTTMainSite/AppliedScience/2005appscience/CompletedProjects/PAKineticTest/Chapters/Chapter%205.pdf)</t>
  </si>
  <si>
    <t>Cravotta, C.A. III  (2008) Dissolved metals and associated constituents in abandoned coal-mine discharges, Pennsylvania, USA--1. Constituent concentrations and correlations: Applied Geochemistry 23, 166-202.  (https://doi.org/10.1016/j.apgeochem.2007.10.011)</t>
  </si>
  <si>
    <t>Cravotta, C.A. III  (2008) Dissolved metals and associated constituents in abandoned coal-mine discharges, Pennsylvania, USA--2. Geochemical controls on constituent concentrations: Applied Geochemistry 23, 203-226.  (https://doi.org/10.1016/j.apgeochem.2007.10.003)</t>
  </si>
  <si>
    <t>Cravotta, C.A. III  (2008) Laboratory and field evaluation of a flushable oxic limestone drain for treatment of net-acidic, metal-laden drainage from a flooded anthracite mine, Pennsylvania, USA: Applied Geochemistry 23, 3404-3422.  (https://doi.org/10.1016/j.apgeochem.2008.07.015)</t>
  </si>
  <si>
    <t>Cravotta, C.A. III, Nantz, J.M. (2008) Quantity and quality of stream water draining mined areas of the upper Schuylkill River basin, Schuylkill County, Pennsylvania, 2005-2007: Proceedings National Meeting of the American Society of Mining and Reclamation, Richmond VA, New Opportunities to Apply Our Science June 14-19, 2008: American Society of Mining and Reclamation, 223-252.  (http://www.asmr.us/Publications/Conference%20Proceedings/2008/0223-Cravotta-PA.pdf)</t>
  </si>
  <si>
    <t>Cravotta, C.A. III, Ward, S.J. (2008) Downflow limestone beds for treatment of net-acidic, oxic, iron-laden drainage from a flooded anthracite mine, Pennsylvania, USA--Field evaluation: Mine Water and the Environment 27, 67-85. (https://doi.org/10.1007/s10230-008-0029-5)</t>
  </si>
  <si>
    <t>Cravotta, C.A. III, Ward, S.J., Hammarstrom, J.M. (2008) Downflow limestone beds for treatment of net-acidic, oxic, iron-laden drainage from a flooded anthracite mine, Pennsylvania, USA--Laboratory evaluation: Mine Water and the Environment 27, 86-99. (https://doi.org/10.1007/s10230-008-0031-y)</t>
  </si>
  <si>
    <t>Chaplin, J.J., Cravotta, C.A. III, Weitzel, J.B., Klemow, K.M. (2007) Effects of historical coal mining and drainage from abandoned mines on streamflow and water quality in Newport and Nanticoke Creeks, Luzerne County, Pennsylvania, 1999-2000: U.S. Geological Survey Scientific Investigations Report 2007-5061, 40 p. (https://doi.org/10.3133/sir20075061)</t>
  </si>
  <si>
    <t>Cravotta, C.A. III  (2007) Passive aerobic treatment of net-alkaline, iron-laden drainage from a flooded underground anthracite mine, Pennsylvania, USA: Mine Water and the Environment 26, 128-149.  (https://doi.org/10.1007/s10230-007-0002-8)</t>
  </si>
  <si>
    <t>Cravotta, C.A. III  (2006) Relations among pH, sulfate, and metals concentrations in Anthracite and Bituminous coal-mine discharges: Proceedings 7th ICARD, March 26-30, 2006, St. Louis, Missouri: American Society of Mine Reclamation, 378-404.  (http://www.asmr.us/Publications/Conference%20Proceedings/2006/0378-Cravotta-PA.pdf)</t>
  </si>
  <si>
    <t>Cravotta, C.A. III  (2005) Assessment of characteristics and remedial alternatives for abandoned mine drainage : case study at Staple Bend Tunnel Unit of Allegheny Portage Railroad National Historic Site, Cambria County, Pennsylvania, 2004: U.S. Geological Survey Open-File Report 2005-1283, 52 p.  (https://doi.org/10.3133/ofr20051283)</t>
  </si>
  <si>
    <t>Cravotta, C.A. III  (2005) Effects of abandoned coal-mine drainage on streamflow and water quality in the Mahanoy Creek Basin, Schuylkill, Columbia, and Northumberland Counties, Pennsylvania, 2001: U.S. Geological Survey Scientific Investigations Report 2004-5291, 60 p., plus 4 appendixes.  (https://doi.org/10.3133/sir20045291)</t>
  </si>
  <si>
    <t>Guangcai, Wang, Zuochen, Z., Min, W., Cravotta, C.A. III, Chenglong, L. (2005) Implications of ground water chemistry and flow patterns for earthquake studies: Ground Water 43, 478-484.  (https://doi.org/10.1111/j.1745-6584.2005.0037.x)</t>
  </si>
  <si>
    <t>Hammarstrom, J.M., Brady, K.B.C., Cravotta, C.A. III  (2005) Acid-rock drainage at Skytop, Centre County, Pennsylvania, 2004: U.S. Geological Survey Open-File Report 2005-1148, 45 p.  (https://doi.org/10.3133/ofr20051148)</t>
  </si>
  <si>
    <t>Kirby, C.S., Cravotta, C.A. III  (2005) Net alkalinity and net acidity 1: Theoretical considerations: Applied Geochemistry 20, 1920-1940.  (https://doi.org/10.1016/j.apgeochem.2005.07.002)</t>
  </si>
  <si>
    <t>Kirby, C.S., Cravotta, C.A. III  (2005) Net alkalinity and net acidity 2: Practical considerations: Applied Geochemistry 20, 1941-1964.  (https://doi.org/10.1016/j.apgeochem.2005.07.003)</t>
  </si>
  <si>
    <t>Cravotta, C.A. III, Kirby, C.S. (2004) Acidity and alkalinity in mine drainage--practical considerations: Proceedings 2004 National Meeting of the American Society of Mining and Reclamation and the 25th West Virginia Surface Mine Drainage Task Force, April 18-24, 2004: American Society of Mine Reclamation, 334-365.  (http://www.asmr.us/Publications/Conference%20Proceedings/2004/0334-Cravotta%20PA-1.pdf)</t>
  </si>
  <si>
    <t>Cravotta, C.A. III, Kirby, C.S. (2004) Effects of abandoned coal-mine drainage on streamflow and water quality in the Shamokin Creek Basin, Northumberland and Columbia Counties, Pennsylvania, 1999-2001: U.S. Geological Survey Water-Resources Investigations Report 03-4311, 58 p.  (https://doi.org/10.3133/wri034311)</t>
  </si>
  <si>
    <t>Cravotta, C.A. III, Ward, S.J., Koury, D.J., Koch, R.D. (2004) Optimization of limestone drains for long- term treatment of acidic mine drainage, Swatara Creek Basin, Schuylkill County, PA: Proceedings 2004 National Meeting of the American Society of Mining and Reclamation and the 25th West Virginia Surface Mine Drainage Task Force, April 18-24, 2004: American Society of Mine Reclamation, 366-411.  (http://www.asmr.us/Publications/Conference%20Proceedings/2004/0366-Cravotta%20PA-2.pdf)</t>
  </si>
  <si>
    <t>Kirby, C.S., Cravotta, C.A. III  (2004) Acidity and alkalinity in mine drainage--theoretical considerations: Proceedings 2004 National Meeting of the American Society of Mining and Reclamation and the 25th West Virginia Surface Mine Drainage Task Force, April 18-24, 2004: American Society of Mine Reclamation, 1076-1093.  (http://www.asmr.us/Publications/Conference%20Proceedings/2004/1076-Kirby%20PA.pdf)</t>
  </si>
  <si>
    <t>Cravotta, C.A. III  (2003) Size and performance of anoxic limestone drains to neutralize acidic mine drainage: Journal of Environmental Quality 32, 1277-1289.  (https://doi.org/10.2134/jeq2003.1277)</t>
  </si>
  <si>
    <t>Cravotta, C.A. III, Watzlaf, G.R. (2003) Design and performance of limestone drains to increase pH and remove metals from acidic mine drainage: Naftz, D.L., Morrison, S.J., Fuller, C.C., and Davis, J.A., eds., Handbook of groundwater remediation using permeable reactive barriers--Application to radionuclides, trace metals, and nutrients: San Diego, Ca., Academic Press, 19-66.  (https://doi.org/10.1016/B978-012513563-4/50006-2)</t>
  </si>
  <si>
    <t>Cravotta, C.A. III  (2002) New method to estimate longevity of anoxic limestone drains : Proceedings 19th Annual Meeting of American Society of Mining &amp; Reclamation, Lexington, Kentucky, June 9-13, 2002: American Society of Mining &amp; Reclamation, 1062-1064.  (http://www.asmr.us/Publications/Conference%20Proceedings/2002/1062%20Cravotta.pdf)</t>
  </si>
  <si>
    <t>Cravotta, C.A. III, Bilger, M.D., Brightbill, R.A., Bogar, D. (2002) Restoration and monitoring of aquatic quality in a coal-mined watershed, Swatara Creek at Ravine, Pennsylvania : Proceedings 19th Annual Meeting of American Society of Mining &amp; Reclamation, Lexington, Kentucky, June 9- 13, 2002: American Society of Mining &amp; Reclamation, 1061.  (http://www.asmr.us/Publications/Conference%20Proceedings/2002/1059%20Cravotta.pdf)</t>
  </si>
  <si>
    <t>Williams, D.J., Bigham, J.M., Cravotta, C.A. III, Traina, S.J., Anderson, J.E., Lyon, G. (2002) Assessing mine drainage pH from the color and spectral reflectance of chemical precipitates: Applied Geochemistry 17, 1273-1286. (https://doi.org/10.1016/S0883-29270200019-7)</t>
  </si>
  <si>
    <t>Cravotta, C.A. III, Bilger, M.D. (2001) Water-quality trends for a coal-mined watershed in Eastern Pennsylvania: Geochemistry, Exploration, Environment, Analysis 1, 33-50.  (https://doi.org/10.1144/geochem.1.1.33)</t>
  </si>
  <si>
    <t>Cravotta, C.A. III, Weitzel, J.B. (2001) Detecting change in water quality from implementation of limestone treatment systems in a coal-mined watershed, Pennsylvania: Proceedings 8th National Nonpoint Source Monitoring Workshop: U.S. Environmental Protection Agency EPA/905-R-01-008. (https://www.researchgate.net/publication/266277832_DETECTING_CHANGE_IN_WATER_QUALITY_FROM_IMPLEMENTATION_OF_LIMESTONE_TREATMENT_SYSTEMS_IN_A_COAL-MINED_WATERSHED_PENNSYLVANIA)</t>
  </si>
  <si>
    <t>Cravotta, C.A. III  (2000) Relations among sulfate, metals, sediment, and streamflow data for a stream draining a coal-mined watershed in east-central Pennsylvania: Proceedings Fifth International Conference on Acid Rock Drainage: Littleton, Co., Society for Mining, Metallurgy, and Exploration, Inc. 1, 401-410. (http://www.gbv.de/dms/tib-ub-hannover/317652273.pdf)</t>
  </si>
  <si>
    <t>Robbins, E.I., Anderson, J.E., Cravotta, C.A. III, Nord, G.L., Jr., Slonecker, E.T. (2000) Multispectral signature variations in acidic versus near-neutral contaminated coal mine drainage in Pennsylvania: Proceedings Fifth International Conference on Acid Rock Drainage: Littleton, Co., Society for Mining, Metallurgy, and Exploration, Inc. 2, 1551-1559.  (http://www.gbv.de/dms/tib-ub-hannover/317652273.pdf)</t>
  </si>
  <si>
    <t>Cravotta, C.A. III, Hilgar, G.M. (2000) Considerations for chemical monitoring at coal mines: Acid Drainage Technology Initiative, Morgantown, W.V., National Mine Land Reclamation Center, 195-218.  (http://www.techtransfer.osmre.gov/NTTMainSite/Library/hbmanual/predictH2O/appendixA.pdf)</t>
  </si>
  <si>
    <t>Landa, E.R., Cravotta, C.A. III, Naftz, D.L., Verplanck, P.L., Nordstrom, D.K.,Zielinski, R.A. (2000) Geochemical investigations by the U.S. Geological Survey on uranium mining, milling, and environmental restoration: Gesell, T.F., and Simon, S.L., eds., Environmental exposure--Fact versus fiction: Technology 7, nos. 2-4, 381-396.  ()</t>
  </si>
  <si>
    <t>Cravotta, C.A. III, Trahan, M.K. (1999) Limestone drains to increase pH and remove dissolved metals from acidic mine drainage: Applied Geochemistry 14, no. 5, 581-606. (https://doi.org/10.1016/S0883-29279800066-3)</t>
  </si>
  <si>
    <t>Cravotta, C.A. III, Brady, K.B.C., Rose, A.W., Douds, J.B. (1999) Frequency distribution of the pH of coal-mine drainage in Pennsylvania: Morganwalp, D.W., and Buxton, H., eds., U.S. Geological Survey Toxic Substances Hydrology Program--Proceedings Technical Meeting, Charleston, South Carolina, March 8-12, 1999: U.S. Geological Survey Water-Resources Investigations Report 99- 4018A, 313-324.  (https://doi.org/10.3133/wri994018A)</t>
  </si>
  <si>
    <t>Landa, E.R., Cravotta, C.A. III, Naftz, D.L., Verplanck, P.L., Nordstrom, D.K., Zielinski, R.A. (1999) Geochemical investigations by the U.S. Geological Survey on uranium mining, milling, and environmental restoration: Hylko, J.M., and Salyer, R.L., eds., Health Physics Society Proceedings- -Creation and future legacy of stockpile stewardship: Madison, Wisc., Medical Physics Publishing, 215- 220. ()</t>
  </si>
  <si>
    <t>Robbins, E.I., Cravotta, C.A. III, Savela, C.E., Nord, G.L., Jr. (1999) Hydrobiogeochemical interactions in “anoxic” limestone drains for neutralization of acidic mine drainage: Fuel 78, 259-270.  (https://doi.org/10.1016/S0016-23619800147-1)</t>
  </si>
  <si>
    <t>Cravotta, C.A. III  (1998) Effect of sewage sludge on formation of acidic ground water at a reclaimed coal mine: Ground Water 36, no. 1, 9-19. (http://www.ngwa.org/gwol/980663203.aspx)</t>
  </si>
  <si>
    <t>Cravotta, C.A. III  (1998) Oxic limestone drains for treatment of dilute, acidic mine drainage: Proceedings 19th Annual Meeting West Virginia Surface Mine Drainage Task Force: Morgantown, W.Va., West Virginia University, 25 p.  (http://wvmdtaskforce.com/proceedings/98/98CRA/98CRA.HTM)</t>
  </si>
  <si>
    <t>Rose, A.W., Cravotta, C.A. III  (1998) Geochemistry of coal-mine drainage: Brady, K.B.C., Smith, M.W., and Schueck, J., eds., Coal Mine Drainage Prediction and Pollution Prevention in Pennsylvania: Harrisburg, Pa., Pennsylvania Department of Environmental Protection, 5600-BK-DEP2256, 1.1- 1.22  (http://files.dep.state.pa.us/Mining/BureauOfMiningPrograms/BMPPortalFiles/Coal_Mine_Drainage_Prediction_and_Pollution_Prevention_in_Pennsylvania.pdf)</t>
  </si>
  <si>
    <t>Cravotta, C.A. III  (1997) Water: Marcus, J.J., ed., Mining Environmental Handbook: London, Imperial College Press, Chapter 12, Section 12.3.2, 582-583.  ()</t>
  </si>
  <si>
    <t>Cravotta, C.A. III  (1997) Use of stable isotopes of carbon, nitrogen, and sulfur to identify sources of nitrogen in surface waters in the lower Susquehanna River Basin, Pennsylvania: U.S. Geological Survey Water-Supply Paper 2497, 99 p.  (https://doi.org/10.3133/wsp2497)</t>
  </si>
  <si>
    <t>Robbins, E.I., Cravotta, C.A. III, Savela, C.E., Nord, G.L., Jr., Balciauskas, K.A., Belkin, H.E. (1997) Hydrobiogeochemical interactions on calcite and gypsum in “anoxic” limestone drains in West Virginia and Pennsylvania: International Ash Utilization Symposium, 546-559.  ()</t>
  </si>
  <si>
    <t>Cravotta, C.A. III, Trahan, M.K. (1996) Limestone drains to increase pH and remove dissolved metals from an acidic coal-mine discharge in Pennsylvania: Proceedings 13th Annual Meeting of the American Society for Surface Mining and Reclamation, Knoxville, TN, May 19-25, 1996, 836-840.  (http://www.asmr.us/Publications/Conference%20Proceedings/1996/ASSMR96.pdf)</t>
  </si>
  <si>
    <t>Guo, W., Cravotta, C.A. III  (1996) Oxygen transport and pyrite oxidation in unsaturated coal-mine spoil: Proceedings 13th Annual Meeting of the American Society for Surface Mining and Reclamation, Knoxville, TN, May 19-25, 1996, 3-14.  (http://www.asmr.us/Publications/Conference%20Proceedings/1996/ASSMR96.pdf)</t>
  </si>
  <si>
    <t>Robbins, E.I., Anderson, J.E., Cravotta, C.A. III, Koury, D.J., Podwysocki, M.H., Stanton, M.R., Growitz, D.J. (1996) Development and preliminary testing of microbial and spectral reflectance techniques to distinguish neutral from acidic drainages: Chiang, S.-H., ed., Proceedings 13th Annual International Pittsburgh Coal Conference 2, 768-775. ()</t>
  </si>
  <si>
    <t>Baedecker, M.J., Back, William, Cravotta, C.A. III  (1995) Consequences of energy use on water quality: Carter, L.M.H., ed., Energy and the environment--application of geosciences to decision making: U.S. Geological Survey Circular 1108, 34-36. (http://onlinepubs.er.usgs.gov/djvu/CIR/circ_1108.djvu)</t>
  </si>
  <si>
    <t>Cravotta, C.A. III  (1995) Use of stable carbon, nitrogen, and sulfur isotopes to identify sources of nitrogen in surface waters in the lower Susquehanna River Basin, Pennsylvania: U.S. Geological Survey Open- File Report 94-510, 103 p. (https://doi.org/10.3133/ofr94510)</t>
  </si>
  <si>
    <t>Cravotta, C.A. III  (1994) Secondary iron-sulfate minerals as sources of sulfate and acidity: Alpers, C.N., and Blowes, D.W., eds., Environmental geochemistry of sulfide oxidation: Washington, D.C., American Chemical Society Symposium Series 550, 345-364.  (http://pubs.acs.org/doi/pdf/10.1021/bk-1994-0550.ch023)</t>
  </si>
  <si>
    <t>Cravotta, C.A. III, Brady, K.B.C., Gustafson-Minnich, L.C., DiMatteo, M.R. (1994) Geochemical and geohydrological characteristics of bedrock and mine spoil from two methods of mining at a reclaimed surface coal mine in Clarion County, PA, USA: U.S. Bureau of Mines Special Publication SP 06B, 242-249. (http://www.techtransfer.osmre.gov/NTTMainSite/Library/proceed/intl1994/vol2part5.pdf)</t>
  </si>
  <si>
    <t>Cravotta, C.A. III, Dugas, D.L., Brady, K.B.C., Kovalchuk, T.E. (1994) Effects of selective handling of pyritic, acid-forming materials on the chemistry of pore gas and ground water at a reclaimed surface coal mine in Clarion County, PA, USA: U.S. Bureau of Mines Special Publication SP 06A, 365-374. (http://www.techtransfer.osmre.gov/NTTMainSite/Library/proceed/intl1994/vol1part8.pdf)</t>
  </si>
  <si>
    <t>Dugas, D.L., Cravotta, C.A. III, Saad, D.A. (1993) Water-quality data for two surface coal mines reclaimed with alkaline waste or urban sewage sludge, Clarion County, Pennsylvania, May 1983 through November 1989: U.S. Geological Survey Open-File Report 93-115, 153 p. (https://doi.org/10.3133/ofr93115)</t>
  </si>
  <si>
    <t>Brady, K.B.C., Cravotta, C.A. III  (1992) Acid base accounting--An improved method of interpreting overburden chemistry to predict the quality of coal-mine drainage: Proceedings 13th Annual Meeting West Virginia Surface Mine Drainage Task Force: Morgantown, W.Va., West Virginia University, 10 p.  (http://wvmdtaskforce.com/proceedings/92/92BRA/92BRA.HTM)</t>
  </si>
  <si>
    <t>Cravotta, C.A. III  (1991) Geochemical evolution of acidic ground water at a reclaimed surface coal mine in western Pennsylvania: Proceedings 1991 National Meeting of the American Society for Surface Mining and Reclamation, May 14-17, 1991, Durango, Co.: American Society for Surface Mining and Reclamation, 43-68.  (http://www.techtransfer.osmre.gov/NTTMainSite/Library/proceed/asmr91/session2.pdf)</t>
  </si>
  <si>
    <t>Brady, K.B.C., Smith, M.W., Beam, R.L., Cravotta, C.A. III  (1990) Effectiveness of the addition of alkaline materials at surface coal mines in preventing or abating acid mine drainage--Part 2. Mine site case studies: Proceedings 1990 Mining and Reclamation Conference and Exhibition: Morgantown, W.V., West Virginia University 1, 226-241.  (http://www.techtransfer.osmre.gov/NTTMainSite/Library/proceed/1990Proceed/vol1section7.pdf)</t>
  </si>
  <si>
    <t>Cravotta, C.A. III, Brady, K.B.C., Smith, M.W., Beam, R.L. (1990) Effectiveness of the addition of alkaline materials at surface coal mines in preventing or abating acid mine drainage--Part 1. Geochemical considerations: Proceedings 1990 Mining and Reclamation Conference and Exhibition: Morgantown, W.V., West Virginia University 1, 221-225.  (http://www.techtransfer.osmre.gov/NTTMainSite/Library/proceed/1990Proceed/vol1section7.pdf)</t>
  </si>
  <si>
    <t>Cravotta, C.A. III  (1988) A mass-balance approach for interpreting the chemical composition of a conduit spring in Blair County, Pennsylvania: Proceedings Ground Water Geochemistry Conference: Dublin, Ohio, National Water Well Association, 103-126. ()</t>
  </si>
  <si>
    <t>Date</t>
  </si>
  <si>
    <t>Keywords</t>
  </si>
  <si>
    <t>Title</t>
  </si>
  <si>
    <t>Authors_short</t>
  </si>
  <si>
    <t>Authors</t>
  </si>
  <si>
    <t>Publisher</t>
  </si>
  <si>
    <t>Link</t>
  </si>
  <si>
    <t>Groundwater, TDS, salinity, major ions, monitoring</t>
  </si>
  <si>
    <t>Knierim et al.</t>
  </si>
  <si>
    <t>Stackelberg et al.</t>
  </si>
  <si>
    <t>AMD, rare earths, critical minerals, modeling</t>
  </si>
  <si>
    <t>Boothe-Lordon et al.</t>
  </si>
  <si>
    <t>Tasker et al.</t>
  </si>
  <si>
    <t>AMD, human wastewater, nutrients, metals, cotreatment</t>
  </si>
  <si>
    <t>Roman et al.</t>
  </si>
  <si>
    <t>McCleskey et al.</t>
  </si>
  <si>
    <t>AMD, Chesapeake Bay, nutrients, metals</t>
  </si>
  <si>
    <t>Hayes et al.</t>
  </si>
  <si>
    <t>Streamwater, TDS, salinity, major ions, monitoring</t>
  </si>
  <si>
    <t>AMD, CO2 measurement, modeling</t>
  </si>
  <si>
    <t>Vesper et al.</t>
  </si>
  <si>
    <t>AMD, metals, acidity, treatment, modeling</t>
  </si>
  <si>
    <t>Araújo et al.</t>
  </si>
  <si>
    <t>Barroso et al.</t>
  </si>
  <si>
    <t>Cravotta</t>
  </si>
  <si>
    <t>AMD, rare earths, critical minerals, acidity, modeling</t>
  </si>
  <si>
    <t>McDevitt et al.</t>
  </si>
  <si>
    <t xml:space="preserve">Cravotta et al. </t>
  </si>
  <si>
    <t>AMD, metals, acidity, evolution, modeling</t>
  </si>
  <si>
    <t>Schaffer et al.</t>
  </si>
  <si>
    <t>Radium, barium, strontium, salinity, modeling</t>
  </si>
  <si>
    <t>Marks et al.</t>
  </si>
  <si>
    <t>Groundwater, nutrients, watershed, monitoring</t>
  </si>
  <si>
    <t>Clune et al.</t>
  </si>
  <si>
    <t>Hedin et al.</t>
  </si>
  <si>
    <t>Rossi et al.</t>
  </si>
  <si>
    <t>Groundwater, radium, polonium, modeling</t>
  </si>
  <si>
    <t>Szabo et al.</t>
  </si>
  <si>
    <t>Spellman et al.</t>
  </si>
  <si>
    <t>Smyntek et al.</t>
  </si>
  <si>
    <t>Groundwater, salinity, major ions, isotopes, Marcellus Shale</t>
  </si>
  <si>
    <t>Groundwater, radium, salinity, modeling</t>
  </si>
  <si>
    <t>Lindsey et al.</t>
  </si>
  <si>
    <t>AMD, Chesapeake Bay, nutrients, metals, modeling</t>
  </si>
  <si>
    <t>Groundwater, arsenic, iron, manganese, machine learning</t>
  </si>
  <si>
    <t>Erickson et al.</t>
  </si>
  <si>
    <t>Groundwater, lithium, modeling</t>
  </si>
  <si>
    <t>Groundwater, salinity, major ions, Marcellus Shale</t>
  </si>
  <si>
    <t>Galeone et al.</t>
  </si>
  <si>
    <t>Groundwater, lead, polonium, modeling</t>
  </si>
  <si>
    <t>Clune and Cravotta</t>
  </si>
  <si>
    <t>AMD, metals, acidity, TDS, measurement</t>
  </si>
  <si>
    <t>Castillo-Meza et al.</t>
  </si>
  <si>
    <t>Topic</t>
  </si>
  <si>
    <t>Kleinfelder</t>
  </si>
  <si>
    <t>TetraTech</t>
  </si>
  <si>
    <t>Neomaterials</t>
  </si>
  <si>
    <t>Schuylkill Conservation District</t>
  </si>
  <si>
    <t>Life Cycle Geo</t>
  </si>
  <si>
    <t>Saint Francis Univ.</t>
  </si>
  <si>
    <t>Univ. Pittsburgh</t>
  </si>
  <si>
    <t>Penn State Univ.</t>
  </si>
  <si>
    <t>Villanova Univ.</t>
  </si>
  <si>
    <t>West Virginia Univ.</t>
  </si>
  <si>
    <t>Univ. Minho, Portugal</t>
  </si>
  <si>
    <t>Univ. Evora, Portugal</t>
  </si>
  <si>
    <t>RESPEC Earth Res</t>
  </si>
  <si>
    <t>Client/Collaborator</t>
  </si>
  <si>
    <t>U.S. Geological Survey EHM</t>
  </si>
  <si>
    <t>U.S. Geological Survey GW Predict</t>
  </si>
  <si>
    <t>Critical minerals</t>
  </si>
  <si>
    <t>Rare-earth elements</t>
  </si>
  <si>
    <t>AMD treatment</t>
  </si>
  <si>
    <t>AMD/AML investigation</t>
  </si>
  <si>
    <t>2025-present</t>
  </si>
  <si>
    <t>2024-present</t>
  </si>
  <si>
    <t>2024-2025</t>
  </si>
  <si>
    <t>Year_CGC</t>
  </si>
  <si>
    <t>AMD characterization/treatment</t>
  </si>
  <si>
    <t>Graduate research adviser (Barroso; Valente)</t>
  </si>
  <si>
    <t>Graduate research adviser (Neat; Macalady)</t>
  </si>
  <si>
    <t>Graduate research adviser (Graham; Goldsmith)</t>
  </si>
  <si>
    <t>Graduate research adviser (Seifert; Vesper)</t>
  </si>
  <si>
    <t>Graduate research adviser (Araujo; Fonseca)</t>
  </si>
  <si>
    <t>Dusquesne Univ.</t>
  </si>
  <si>
    <t>Graduate research adviser (Terra; Trun)</t>
  </si>
  <si>
    <t>Groundwater geochemistry</t>
  </si>
  <si>
    <t>Graduate research adviser (Schaffer; Capo)</t>
  </si>
  <si>
    <t>Graduate research adviser (Boothe-Lordon; Stewart)</t>
  </si>
  <si>
    <t>Technical specialist, AMD (Meuzelaar)</t>
  </si>
  <si>
    <t>Technical specialist, AMD (Lehman)</t>
  </si>
  <si>
    <t>Technical specialist, salinity (Stackelberg)</t>
  </si>
  <si>
    <t>Technical specialist, rare-earth modeling (Tasker)</t>
  </si>
  <si>
    <t>Technical specialist, AMD (Schmidt)</t>
  </si>
  <si>
    <t>Technical specialist, AMD (Clark)</t>
  </si>
  <si>
    <t>Technical specialist, AMD (Cavazza)</t>
  </si>
  <si>
    <t>Technical specialist, rare-earth modeling (Haneline)</t>
  </si>
  <si>
    <t>Salinity of groundwater</t>
  </si>
  <si>
    <t>Salinity of surfacewater</t>
  </si>
  <si>
    <t>Technical specialist, critical minerals (White)</t>
  </si>
  <si>
    <t>RoleCGC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</si>
</sst>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1"/>
      <color theme="1"/>
      <name val="Calibri"/>
      <family val="2"/>
      <scheme val="minor"/>
    </font>
    <font>
      <u/>
      <sz val="11"/>
      <color theme="10"/>
      <name val="Calibri"/>
      <family val="2"/>
      <scheme val="minor"/>
    </font>
    <font>
      <sz val="11"/>
      <name val="Calibri"/>
      <family val="2"/>
      <scheme val="minor"/>
    </font>
    <font>
      <sz val="11"/>
      <color rgb="FF00B0F0"/>
      <name val="Calibri"/>
      <family val="2"/>
      <scheme val="minor"/>
    </font>
    <font>
      <i/>
      <sz val="11"/>
      <color theme="1"/>
      <name val="Calibri"/>
      <family val="2"/>
      <scheme val="minor"/>
    </font>
    <font>
      <vertAlign val="subscript"/>
      <sz val="11"/>
      <color theme="1"/>
      <name val="Calibri"/>
      <family val="2"/>
      <scheme val="minor"/>
    </font>
    <font>
      <sz val="10"/>
      <color theme="1"/>
      <name val="Arial"/>
      <family val="2"/>
    </font>
    <font>
      <vertAlign val="subscript"/>
      <sz val="11"/>
      <color rgb="FF00B0F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Alignment="1">
      <alignment horizontal="left"/>
    </xf>
    <xf numFmtId="0" fontId="3" fillId="0" borderId="0" xfId="0" applyFont="1" applyAlignment="1">
      <alignment horizontal="left"/>
    </xf>
    <xf numFmtId="0" fontId="1" fillId="0" borderId="0" xfId="1"/>
    <xf numFmtId="0" fontId="0" fillId="0" borderId="0" xfId="0" applyAlignment="1">
      <alignment horizontal="left" vertical="center"/>
    </xf>
    <xf numFmtId="164" fontId="0" fillId="0" borderId="0" xfId="0" applyNumberFormat="1" applyAlignment="1">
      <alignment horizontal="left"/>
    </xf>
    <xf numFmtId="0" fontId="1" fillId="0" borderId="0" xfId="1" applyAlignment="1">
      <alignment horizontal="left"/>
    </xf>
    <xf numFmtId="0" fontId="2" fillId="0" borderId="0" xfId="0" applyFont="1" applyAlignment="1">
      <alignment horizontal="left"/>
    </xf>
    <xf numFmtId="0" fontId="6"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imwa.info/docs/imwa_2024/IMWA2024_CravottaIII_98.pdf" TargetMode="External"/><Relationship Id="rId13" Type="http://schemas.openxmlformats.org/officeDocument/2006/relationships/hyperlink" Target="https://doi.org/10.1016/j.scitotenv.2022.157933" TargetMode="External"/><Relationship Id="rId18" Type="http://schemas.openxmlformats.org/officeDocument/2006/relationships/hyperlink" Target="https://doi.org/10.1016/j.scitotenv.2020.144691" TargetMode="External"/><Relationship Id="rId3" Type="http://schemas.openxmlformats.org/officeDocument/2006/relationships/hyperlink" Target="https://doi.org/10.1111/gwat.70038" TargetMode="External"/><Relationship Id="rId21" Type="http://schemas.openxmlformats.org/officeDocument/2006/relationships/hyperlink" Target="https://doi.org/10.1016/j.apgeochem.2020.104540" TargetMode="External"/><Relationship Id="rId7" Type="http://schemas.openxmlformats.org/officeDocument/2006/relationships/hyperlink" Target="https://www.imwa.info/docs/imwa_2024/IMWA2024_CravottaIII_91.pdf" TargetMode="External"/><Relationship Id="rId12" Type="http://schemas.openxmlformats.org/officeDocument/2006/relationships/hyperlink" Target="https://drive.google.com/file/d/1H07fhUBKaqLFTQl5DwYH-bxOHWctIdbJ/view" TargetMode="External"/><Relationship Id="rId17" Type="http://schemas.openxmlformats.org/officeDocument/2006/relationships/hyperlink" Target="https://doi.org/10.1016/j.apgeochem.2021.105149" TargetMode="External"/><Relationship Id="rId2" Type="http://schemas.openxmlformats.org/officeDocument/2006/relationships/hyperlink" Target="https://doi.org/10.1002/wer.70298" TargetMode="External"/><Relationship Id="rId16" Type="http://schemas.openxmlformats.org/officeDocument/2006/relationships/hyperlink" Target="https://doi.org/10.1021/acsestwater.1c00307" TargetMode="External"/><Relationship Id="rId20" Type="http://schemas.openxmlformats.org/officeDocument/2006/relationships/hyperlink" Target="https://doi.org/10.1021/acs.est.0c00192" TargetMode="External"/><Relationship Id="rId1" Type="http://schemas.openxmlformats.org/officeDocument/2006/relationships/hyperlink" Target="http://dx.doi.org/10.2139/ssrn.6208107" TargetMode="External"/><Relationship Id="rId6" Type="http://schemas.openxmlformats.org/officeDocument/2006/relationships/hyperlink" Target="https://www.imwa.info/docs/imwa_2024/IMWA2024_Schaffer_555.pdf" TargetMode="External"/><Relationship Id="rId11" Type="http://schemas.openxmlformats.org/officeDocument/2006/relationships/hyperlink" Target="https://doi.org/10.1021/acsestwater.2c00027" TargetMode="External"/><Relationship Id="rId5" Type="http://schemas.openxmlformats.org/officeDocument/2006/relationships/hyperlink" Target="https://doi.org/10.5066/P9157D7U" TargetMode="External"/><Relationship Id="rId15" Type="http://schemas.openxmlformats.org/officeDocument/2006/relationships/hyperlink" Target="http://dx.doi.org/10.1016/j.scitotenv.2021.152672" TargetMode="External"/><Relationship Id="rId10" Type="http://schemas.openxmlformats.org/officeDocument/2006/relationships/hyperlink" Target="https://doi.org/10.1016/j.apgeochem.2023.105684" TargetMode="External"/><Relationship Id="rId19" Type="http://schemas.openxmlformats.org/officeDocument/2006/relationships/hyperlink" Target="https://doi.org/10.1016/j.apgeochem.2020.104845" TargetMode="External"/><Relationship Id="rId4" Type="http://schemas.openxmlformats.org/officeDocument/2006/relationships/hyperlink" Target="https://doi.org/10.1016/j.coal.2024.104547" TargetMode="External"/><Relationship Id="rId9" Type="http://schemas.openxmlformats.org/officeDocument/2006/relationships/hyperlink" Target="https://www.imwa.info/docs/imwa_2024/IMWA2024_Vesper_625.pdf" TargetMode="External"/><Relationship Id="rId14" Type="http://schemas.openxmlformats.org/officeDocument/2006/relationships/hyperlink" Target="https://doi.org/10.1016/j.watres.2022.118173"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6" Type="http://schemas.openxmlformats.org/officeDocument/2006/relationships/hyperlink" Target="http://onlinelibrary.wiley.com/doi/10.1111/j.1745-6584.2005.0037.x/pdf" TargetMode="External"/><Relationship Id="rId21" Type="http://schemas.openxmlformats.org/officeDocument/2006/relationships/hyperlink" Target="http://www.techtransfer.osmre.gov/NTTMainSite/Library/proceed/intl1994/vol2part5.pdf" TargetMode="External"/><Relationship Id="rId42" Type="http://schemas.openxmlformats.org/officeDocument/2006/relationships/hyperlink" Target="http://dx.doi.org/10.1016/j.jhazmat.2012.11.004" TargetMode="External"/><Relationship Id="rId47" Type="http://schemas.openxmlformats.org/officeDocument/2006/relationships/hyperlink" Target="http://dx.doi.org/10.1007/s10230-014-0292-6" TargetMode="External"/><Relationship Id="rId63" Type="http://schemas.openxmlformats.org/officeDocument/2006/relationships/hyperlink" Target="https://doi.org/10.1144/geochem.1.1.33" TargetMode="External"/><Relationship Id="rId68" Type="http://schemas.openxmlformats.org/officeDocument/2006/relationships/hyperlink" Target="https://doi.org/10.1016/j.apgeochem.2021.105149" TargetMode="External"/><Relationship Id="rId84" Type="http://schemas.openxmlformats.org/officeDocument/2006/relationships/hyperlink" Target="https://doi.org/10.1111/gwat.70038" TargetMode="External"/><Relationship Id="rId89" Type="http://schemas.openxmlformats.org/officeDocument/2006/relationships/hyperlink" Target="https://www.imwa.info/docs/imwa_2025/IMWA2025_Araujo_70.pdf" TargetMode="External"/><Relationship Id="rId16" Type="http://schemas.openxmlformats.org/officeDocument/2006/relationships/hyperlink" Target="http://dx.doi.org/10.1016/S0016-23619800147-1" TargetMode="External"/><Relationship Id="rId11" Type="http://schemas.openxmlformats.org/officeDocument/2006/relationships/hyperlink" Target="http://dx.doi.org/10.1016/j.apgeochem.2005.07.002" TargetMode="External"/><Relationship Id="rId32" Type="http://schemas.openxmlformats.org/officeDocument/2006/relationships/hyperlink" Target="http://www.asmr.us/Publications/Conference%20Proceedings/2004/1076-Kirby%20PA.pdf" TargetMode="External"/><Relationship Id="rId37" Type="http://schemas.openxmlformats.org/officeDocument/2006/relationships/hyperlink" Target="http://wvmdtaskforce.com/proceedings/11/Cravotta.doc" TargetMode="External"/><Relationship Id="rId53" Type="http://schemas.openxmlformats.org/officeDocument/2006/relationships/hyperlink" Target="http://dx.doi.org/10.1016/j.apgeochem.2015.03.001" TargetMode="External"/><Relationship Id="rId58" Type="http://schemas.openxmlformats.org/officeDocument/2006/relationships/hyperlink" Target="http://dx.doi.org/10.1016/j.apgeochem.2016.12.019" TargetMode="External"/><Relationship Id="rId74" Type="http://schemas.openxmlformats.org/officeDocument/2006/relationships/hyperlink" Target="https://drive.google.com/file/d/1H07fhUBKaqLFTQl5DwYH-bxOHWctIdbJ/view" TargetMode="External"/><Relationship Id="rId79" Type="http://schemas.openxmlformats.org/officeDocument/2006/relationships/hyperlink" Target="https://www.imwa.info/docs/imwa_2024/IMWA2024_CravottaIII_98.pdf" TargetMode="External"/><Relationship Id="rId5" Type="http://schemas.openxmlformats.org/officeDocument/2006/relationships/hyperlink" Target="http://dx.doi.org/10.1016/j.apgeochem.2008.07.015." TargetMode="External"/><Relationship Id="rId90" Type="http://schemas.openxmlformats.org/officeDocument/2006/relationships/hyperlink" Target="https://www.imwa.info/docs/imwa_2025/IMWA2025_Barroso_97.pdf" TargetMode="External"/><Relationship Id="rId22" Type="http://schemas.openxmlformats.org/officeDocument/2006/relationships/hyperlink" Target="http://www.techtransfer.osmre.gov/NTTMainSite/Library/proceed/intl1994/vol1part8.pdf" TargetMode="External"/><Relationship Id="rId27" Type="http://schemas.openxmlformats.org/officeDocument/2006/relationships/hyperlink" Target="http://www.asmr.us/Publications/Conference%20Proceedings/2010/papers/1413-Cravotta-PA.pdf" TargetMode="External"/><Relationship Id="rId43" Type="http://schemas.openxmlformats.org/officeDocument/2006/relationships/hyperlink" Target="http://www.imwa.info/docs/imwa_2013/IMWA2013_CravottaIII_461.pdf" TargetMode="External"/><Relationship Id="rId48" Type="http://schemas.openxmlformats.org/officeDocument/2006/relationships/hyperlink" Target="http://dx.doi.org/10.3133/cir1354" TargetMode="External"/><Relationship Id="rId64" Type="http://schemas.openxmlformats.org/officeDocument/2006/relationships/hyperlink" Target="http://www.gbv.de/dms/tib-ub-hannover/317652273.pdf" TargetMode="External"/><Relationship Id="rId69" Type="http://schemas.openxmlformats.org/officeDocument/2006/relationships/hyperlink" Target="https://doi.org/10.1021/acsestwater.1c00307" TargetMode="External"/><Relationship Id="rId8" Type="http://schemas.openxmlformats.org/officeDocument/2006/relationships/hyperlink" Target="http://dx.doi.org/10.1016/j.apgeochem.2007.10.011." TargetMode="External"/><Relationship Id="rId51" Type="http://schemas.openxmlformats.org/officeDocument/2006/relationships/hyperlink" Target="http://dx.doi.org/10.1016/j.apgeochem.2015.02.010" TargetMode="External"/><Relationship Id="rId72" Type="http://schemas.openxmlformats.org/officeDocument/2006/relationships/hyperlink" Target="http://wvmdtaskforce.com/proceedings/92/92BRA/92BRA.HTM" TargetMode="External"/><Relationship Id="rId80" Type="http://schemas.openxmlformats.org/officeDocument/2006/relationships/hyperlink" Target="https://www.imwa.info/docs/imwa_2024/IMWA2024_CravottaIII_91.pdf" TargetMode="External"/><Relationship Id="rId85" Type="http://schemas.openxmlformats.org/officeDocument/2006/relationships/hyperlink" Target="https://doi.org/10.1002/wer.70298" TargetMode="External"/><Relationship Id="rId93" Type="http://schemas.openxmlformats.org/officeDocument/2006/relationships/printerSettings" Target="../printerSettings/printerSettings2.bin"/><Relationship Id="rId3" Type="http://schemas.openxmlformats.org/officeDocument/2006/relationships/hyperlink" Target="http://dx.doi.org/10.1007/s10230-010-0113-5" TargetMode="External"/><Relationship Id="rId12" Type="http://schemas.openxmlformats.org/officeDocument/2006/relationships/hyperlink" Target="http://dx.doi.org/10.1016/j.apgeochem.2005.07.003" TargetMode="External"/><Relationship Id="rId17" Type="http://schemas.openxmlformats.org/officeDocument/2006/relationships/hyperlink" Target="http://wvmdtaskforce.com/proceedings/98/98CRA/98CRA.HTM" TargetMode="External"/><Relationship Id="rId25" Type="http://schemas.openxmlformats.org/officeDocument/2006/relationships/hyperlink" Target="http://www.techtransfer.osmre.gov/NTTMainSite/Library/proceed/1990Proceed/vol1section7.pdf" TargetMode="External"/><Relationship Id="rId33" Type="http://schemas.openxmlformats.org/officeDocument/2006/relationships/hyperlink" Target="http://www.asmr.us/Publications/Conference%20Proceedings/2002/1062%20Cravotta.pdf" TargetMode="External"/><Relationship Id="rId38" Type="http://schemas.openxmlformats.org/officeDocument/2006/relationships/hyperlink" Target="http://dx.doi.org/10.1016/j.chemgeo.2011.06.013" TargetMode="External"/><Relationship Id="rId46" Type="http://schemas.openxmlformats.org/officeDocument/2006/relationships/hyperlink" Target="http://dx.doi.org/10.1002/hyp.9885" TargetMode="External"/><Relationship Id="rId59" Type="http://schemas.openxmlformats.org/officeDocument/2006/relationships/hyperlink" Target="https://doi.org/10.1016/j.apgeochem.2018.10.011" TargetMode="External"/><Relationship Id="rId67" Type="http://schemas.openxmlformats.org/officeDocument/2006/relationships/hyperlink" Target="https://doi.org/10.1016/j.scitotenv.2020.144691" TargetMode="External"/><Relationship Id="rId20" Type="http://schemas.openxmlformats.org/officeDocument/2006/relationships/hyperlink" Target="http://pubs.acs.org/doi/pdf/10.1021/bk-1994-0550.ch023" TargetMode="External"/><Relationship Id="rId41" Type="http://schemas.openxmlformats.org/officeDocument/2006/relationships/hyperlink" Target="http://dx.doi.org/10.1002/hyp.9297" TargetMode="External"/><Relationship Id="rId54" Type="http://schemas.openxmlformats.org/officeDocument/2006/relationships/hyperlink" Target="http://dx.doi.org/10.1080/01490451.2016.1204376" TargetMode="External"/><Relationship Id="rId62" Type="http://schemas.openxmlformats.org/officeDocument/2006/relationships/hyperlink" Target="https://doi.org/10.2134/jeq2003.1277" TargetMode="External"/><Relationship Id="rId70" Type="http://schemas.openxmlformats.org/officeDocument/2006/relationships/hyperlink" Target="http://dx.doi.org/10.1016/j.scitotenv.2021.152672" TargetMode="External"/><Relationship Id="rId75" Type="http://schemas.openxmlformats.org/officeDocument/2006/relationships/hyperlink" Target="https://doi.org/10.1021/acsestwater.2c00027" TargetMode="External"/><Relationship Id="rId83" Type="http://schemas.openxmlformats.org/officeDocument/2006/relationships/hyperlink" Target="https://doi.org/10.1016/j.coal.2024.104547" TargetMode="External"/><Relationship Id="rId88" Type="http://schemas.openxmlformats.org/officeDocument/2006/relationships/hyperlink" Target="https://doi.org/10.1016/j.apgeochem.2025.106336" TargetMode="External"/><Relationship Id="rId91" Type="http://schemas.openxmlformats.org/officeDocument/2006/relationships/hyperlink" Target="https://www.imwa.info/docs/imwa_2025/IMWA2025_CravottaIII_208.pdf" TargetMode="External"/><Relationship Id="rId1" Type="http://schemas.openxmlformats.org/officeDocument/2006/relationships/hyperlink" Target="http://www.imwa.info/docs/imwa_2010/IMWA2010_CravottaIII_403.pdf" TargetMode="External"/><Relationship Id="rId6" Type="http://schemas.openxmlformats.org/officeDocument/2006/relationships/hyperlink" Target="http://dx.doi.org/10.1007/s10230-008-0029-5." TargetMode="External"/><Relationship Id="rId15" Type="http://schemas.openxmlformats.org/officeDocument/2006/relationships/hyperlink" Target="http://dx.doi.org/10.1016/S0883-29279800066-3" TargetMode="External"/><Relationship Id="rId23" Type="http://schemas.openxmlformats.org/officeDocument/2006/relationships/hyperlink" Target="http://www.techtransfer.osmre.gov/NTTMainSite/Library/proceed/asmr91/session2.pdf" TargetMode="External"/><Relationship Id="rId28" Type="http://schemas.openxmlformats.org/officeDocument/2006/relationships/hyperlink" Target="http://www.asmr.us/Publications/Conference%20Proceedings/2008/0223-Cravotta-PA.pdf" TargetMode="External"/><Relationship Id="rId36" Type="http://schemas.openxmlformats.org/officeDocument/2006/relationships/hyperlink" Target="http://pubs.usgs.gov/sir/2010/5261/" TargetMode="External"/><Relationship Id="rId49" Type="http://schemas.openxmlformats.org/officeDocument/2006/relationships/hyperlink" Target="http://dx.doi.org/10.1016/j.epsl.2014.06.045" TargetMode="External"/><Relationship Id="rId57" Type="http://schemas.openxmlformats.org/officeDocument/2006/relationships/hyperlink" Target="http://dx.doi.org/10.2113/EEG-1905" TargetMode="External"/><Relationship Id="rId10" Type="http://schemas.openxmlformats.org/officeDocument/2006/relationships/hyperlink" Target="http://dx.doi.org/10.1007/s10230-007-0002-8" TargetMode="External"/><Relationship Id="rId31" Type="http://schemas.openxmlformats.org/officeDocument/2006/relationships/hyperlink" Target="http://www.asmr.us/Publications/Conference%20Proceedings/2004/0334-Cravotta%20PA-1.pdf" TargetMode="External"/><Relationship Id="rId44" Type="http://schemas.openxmlformats.org/officeDocument/2006/relationships/hyperlink" Target="http://www.imwa.info/docs/imwa_2013/IMWA2013_CravottaIII_525.pdf" TargetMode="External"/><Relationship Id="rId52" Type="http://schemas.openxmlformats.org/officeDocument/2006/relationships/hyperlink" Target="http://dx.doi.org/10.1081/E-ESS-120001582" TargetMode="External"/><Relationship Id="rId60" Type="http://schemas.openxmlformats.org/officeDocument/2006/relationships/hyperlink" Target="https://doi.org/10.1016/j.apgeochem.2020.104540" TargetMode="External"/><Relationship Id="rId65" Type="http://schemas.openxmlformats.org/officeDocument/2006/relationships/hyperlink" Target="http://www.gbv.de/dms/tib-ub-hannover/317652273.pdf" TargetMode="External"/><Relationship Id="rId73" Type="http://schemas.openxmlformats.org/officeDocument/2006/relationships/hyperlink" Target="https://doi.org/10.1016/j.scitotenv.2022.157933" TargetMode="External"/><Relationship Id="rId78" Type="http://schemas.openxmlformats.org/officeDocument/2006/relationships/hyperlink" Target="https://www.imwa.info/docs/imwa_2024/IMWA2024_Vesper_625.pdf" TargetMode="External"/><Relationship Id="rId81" Type="http://schemas.openxmlformats.org/officeDocument/2006/relationships/hyperlink" Target="https://www.imwa.info/docs/imwa_2024/IMWA2024_Schaffer_555.pdf" TargetMode="External"/><Relationship Id="rId86" Type="http://schemas.openxmlformats.org/officeDocument/2006/relationships/hyperlink" Target="http://dx.doi.org/10.2139/ssrn.6208107" TargetMode="External"/><Relationship Id="rId4" Type="http://schemas.openxmlformats.org/officeDocument/2006/relationships/hyperlink" Target="http://www.techtransfer.osmre.gov/NTTMainSite/AppliedScience/2005appscience/CompletedProjects/PAKineticTest/Chapters/Chapter%205.pdf" TargetMode="External"/><Relationship Id="rId9" Type="http://schemas.openxmlformats.org/officeDocument/2006/relationships/hyperlink" Target="http://dx.doi.org/10.1016/j.apgeochem.2007.10.003." TargetMode="External"/><Relationship Id="rId13" Type="http://schemas.openxmlformats.org/officeDocument/2006/relationships/hyperlink" Target="http://dx.doi.org/10.1016/B978-012513563-4/50006-2" TargetMode="External"/><Relationship Id="rId18" Type="http://schemas.openxmlformats.org/officeDocument/2006/relationships/hyperlink" Target="http://www.ngwa.org/gwol/980663203.aspx" TargetMode="External"/><Relationship Id="rId39" Type="http://schemas.openxmlformats.org/officeDocument/2006/relationships/hyperlink" Target="http://www.asmr.us/Publications/Conference%20Proceedings/2010/papers/1085-Sibrell-WV.pdf" TargetMode="External"/><Relationship Id="rId34" Type="http://schemas.openxmlformats.org/officeDocument/2006/relationships/hyperlink" Target="http://www.asmr.us/Publications/Conference%20Proceedings/2002/1059%20Cravotta.pdf" TargetMode="External"/><Relationship Id="rId50" Type="http://schemas.openxmlformats.org/officeDocument/2006/relationships/hyperlink" Target="http://dx.doi.org/10.1016/j.apgeochem.2015.02.009" TargetMode="External"/><Relationship Id="rId55" Type="http://schemas.openxmlformats.org/officeDocument/2006/relationships/hyperlink" Target="http://dx.doi.org/10.3133/sir20165143" TargetMode="External"/><Relationship Id="rId76" Type="http://schemas.openxmlformats.org/officeDocument/2006/relationships/hyperlink" Target="https://doi.org/10.1016/j.apgeochem.2023.105684" TargetMode="External"/><Relationship Id="rId7" Type="http://schemas.openxmlformats.org/officeDocument/2006/relationships/hyperlink" Target="http://dx.doi.org/10.1007/s10230-008-0031-y." TargetMode="External"/><Relationship Id="rId71" Type="http://schemas.openxmlformats.org/officeDocument/2006/relationships/hyperlink" Target="https://doi.org/10.1016/j.watres.2022.118173" TargetMode="External"/><Relationship Id="rId92" Type="http://schemas.openxmlformats.org/officeDocument/2006/relationships/hyperlink" Target="https://www.chesapeake.org/stac/wp-content/uploads/2025/04/STAC-Technical-Review_Acid-Mine-Drainage_25-002.pdf" TargetMode="External"/><Relationship Id="rId2" Type="http://schemas.openxmlformats.org/officeDocument/2006/relationships/hyperlink" Target="http://dx.doi.org/10.1007/s10230-010-0112-6" TargetMode="External"/><Relationship Id="rId29" Type="http://schemas.openxmlformats.org/officeDocument/2006/relationships/hyperlink" Target="http://www.asmr.us/Publications/Conference%20Proceedings/2006/0378-Cravotta-PA.pdf" TargetMode="External"/><Relationship Id="rId24" Type="http://schemas.openxmlformats.org/officeDocument/2006/relationships/hyperlink" Target="http://www.techtransfer.osmre.gov/NTTMainSite/Library/proceed/1990Proceed/vol1section7.pdf" TargetMode="External"/><Relationship Id="rId40" Type="http://schemas.openxmlformats.org/officeDocument/2006/relationships/hyperlink" Target="http://dx.doi.org/10.1016/j.apgeochem.2012.07.017" TargetMode="External"/><Relationship Id="rId45" Type="http://schemas.openxmlformats.org/officeDocument/2006/relationships/hyperlink" Target="http://pubs.usgs.gov/sir/2013/5072/" TargetMode="External"/><Relationship Id="rId66" Type="http://schemas.openxmlformats.org/officeDocument/2006/relationships/hyperlink" Target="https://doi.org/10.1016/j.apgeochem.2020.104845" TargetMode="External"/><Relationship Id="rId87" Type="http://schemas.openxmlformats.org/officeDocument/2006/relationships/hyperlink" Target="https://doi.org/10.1016/j.apgeochem.2025.106358" TargetMode="External"/><Relationship Id="rId61" Type="http://schemas.openxmlformats.org/officeDocument/2006/relationships/hyperlink" Target="https://doi.org/10.1021/acs.est.0c00192" TargetMode="External"/><Relationship Id="rId82" Type="http://schemas.openxmlformats.org/officeDocument/2006/relationships/hyperlink" Target="https://doi.org/10.5066/P9157D7U" TargetMode="External"/><Relationship Id="rId19" Type="http://schemas.openxmlformats.org/officeDocument/2006/relationships/hyperlink" Target="http://onlinepubs.er.usgs.gov/djvu/CIR/circ_1108.djvu" TargetMode="External"/><Relationship Id="rId14" Type="http://schemas.openxmlformats.org/officeDocument/2006/relationships/hyperlink" Target="http://dx.doi.org/10.1016/S0883-29270200019-7" TargetMode="External"/><Relationship Id="rId30" Type="http://schemas.openxmlformats.org/officeDocument/2006/relationships/hyperlink" Target="http://www.asmr.us/Publications/Conference%20Proceedings/2004/0366-Cravotta%20PA-2.pdf" TargetMode="External"/><Relationship Id="rId35" Type="http://schemas.openxmlformats.org/officeDocument/2006/relationships/hyperlink" Target="http://www.asmr.us/Publications/Conference%20Proceedings/1996/ASSMR96.pdf" TargetMode="External"/><Relationship Id="rId56" Type="http://schemas.openxmlformats.org/officeDocument/2006/relationships/hyperlink" Target="http://dx.doi.org/10.3133/sir20175110" TargetMode="External"/><Relationship Id="rId77" Type="http://schemas.openxmlformats.org/officeDocument/2006/relationships/hyperlink" Target="https://doi.org/10.3133/wri994018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FCD00-DF49-498A-BDD7-DF2CCAE118D3}">
  <dimension ref="A1:D18"/>
  <sheetViews>
    <sheetView tabSelected="1" workbookViewId="0">
      <selection activeCell="C1" sqref="C1"/>
    </sheetView>
  </sheetViews>
  <sheetFormatPr baseColWidth="10" defaultColWidth="8.83203125" defaultRowHeight="15" x14ac:dyDescent="0.2"/>
  <cols>
    <col min="1" max="1" width="31.5" bestFit="1" customWidth="1"/>
    <col min="2" max="2" width="30.5" bestFit="1" customWidth="1"/>
    <col min="3" max="3" width="48.33203125" bestFit="1" customWidth="1"/>
    <col min="4" max="4" width="12.5" style="1" bestFit="1" customWidth="1"/>
  </cols>
  <sheetData>
    <row r="1" spans="1:4" x14ac:dyDescent="0.2">
      <c r="A1" t="s">
        <v>694</v>
      </c>
      <c r="B1" t="s">
        <v>680</v>
      </c>
      <c r="C1" t="s">
        <v>727</v>
      </c>
      <c r="D1" s="1" t="s">
        <v>704</v>
      </c>
    </row>
    <row r="2" spans="1:4" x14ac:dyDescent="0.2">
      <c r="A2" t="s">
        <v>693</v>
      </c>
      <c r="B2" t="s">
        <v>699</v>
      </c>
      <c r="C2" t="s">
        <v>720</v>
      </c>
      <c r="D2" s="1" t="s">
        <v>701</v>
      </c>
    </row>
    <row r="3" spans="1:4" x14ac:dyDescent="0.2">
      <c r="A3" t="s">
        <v>681</v>
      </c>
      <c r="B3" t="s">
        <v>700</v>
      </c>
      <c r="C3" t="s">
        <v>721</v>
      </c>
      <c r="D3" s="1" t="s">
        <v>701</v>
      </c>
    </row>
    <row r="4" spans="1:4" x14ac:dyDescent="0.2">
      <c r="A4" t="s">
        <v>682</v>
      </c>
      <c r="B4" t="s">
        <v>700</v>
      </c>
      <c r="C4" t="s">
        <v>722</v>
      </c>
      <c r="D4" s="1" t="s">
        <v>701</v>
      </c>
    </row>
    <row r="5" spans="1:4" x14ac:dyDescent="0.2">
      <c r="A5" t="s">
        <v>683</v>
      </c>
      <c r="B5" t="s">
        <v>698</v>
      </c>
      <c r="C5" t="s">
        <v>723</v>
      </c>
      <c r="D5" s="1" t="s">
        <v>703</v>
      </c>
    </row>
    <row r="6" spans="1:4" x14ac:dyDescent="0.2">
      <c r="A6" t="s">
        <v>684</v>
      </c>
      <c r="B6" t="s">
        <v>700</v>
      </c>
      <c r="C6" t="s">
        <v>717</v>
      </c>
      <c r="D6" s="1" t="s">
        <v>701</v>
      </c>
    </row>
    <row r="7" spans="1:4" x14ac:dyDescent="0.2">
      <c r="A7" t="s">
        <v>685</v>
      </c>
      <c r="B7" t="s">
        <v>700</v>
      </c>
      <c r="C7" t="s">
        <v>716</v>
      </c>
      <c r="D7" s="1">
        <v>2025</v>
      </c>
    </row>
    <row r="8" spans="1:4" x14ac:dyDescent="0.2">
      <c r="A8" t="s">
        <v>695</v>
      </c>
      <c r="B8" t="s">
        <v>697</v>
      </c>
      <c r="C8" t="s">
        <v>726</v>
      </c>
      <c r="D8" s="1" t="s">
        <v>702</v>
      </c>
    </row>
    <row r="9" spans="1:4" x14ac:dyDescent="0.2">
      <c r="A9" t="s">
        <v>696</v>
      </c>
      <c r="B9" t="s">
        <v>724</v>
      </c>
      <c r="C9" t="s">
        <v>718</v>
      </c>
      <c r="D9" s="1" t="s">
        <v>702</v>
      </c>
    </row>
    <row r="10" spans="1:4" x14ac:dyDescent="0.2">
      <c r="A10" t="s">
        <v>686</v>
      </c>
      <c r="B10" t="s">
        <v>698</v>
      </c>
      <c r="C10" t="s">
        <v>719</v>
      </c>
      <c r="D10" s="1" t="s">
        <v>702</v>
      </c>
    </row>
    <row r="11" spans="1:4" x14ac:dyDescent="0.2">
      <c r="A11" t="s">
        <v>687</v>
      </c>
      <c r="B11" t="s">
        <v>713</v>
      </c>
      <c r="C11" t="s">
        <v>714</v>
      </c>
      <c r="D11" s="1" t="s">
        <v>703</v>
      </c>
    </row>
    <row r="12" spans="1:4" x14ac:dyDescent="0.2">
      <c r="A12" t="s">
        <v>687</v>
      </c>
      <c r="B12" t="s">
        <v>698</v>
      </c>
      <c r="C12" t="s">
        <v>715</v>
      </c>
      <c r="D12" s="1" t="s">
        <v>702</v>
      </c>
    </row>
    <row r="13" spans="1:4" x14ac:dyDescent="0.2">
      <c r="A13" t="s">
        <v>688</v>
      </c>
      <c r="B13" t="s">
        <v>698</v>
      </c>
      <c r="C13" t="s">
        <v>707</v>
      </c>
      <c r="D13" s="1" t="s">
        <v>702</v>
      </c>
    </row>
    <row r="14" spans="1:4" x14ac:dyDescent="0.2">
      <c r="A14" t="s">
        <v>711</v>
      </c>
      <c r="B14" t="s">
        <v>698</v>
      </c>
      <c r="C14" t="s">
        <v>712</v>
      </c>
      <c r="D14" s="1" t="s">
        <v>702</v>
      </c>
    </row>
    <row r="15" spans="1:4" x14ac:dyDescent="0.2">
      <c r="A15" t="s">
        <v>689</v>
      </c>
      <c r="B15" t="s">
        <v>725</v>
      </c>
      <c r="C15" t="s">
        <v>708</v>
      </c>
      <c r="D15" s="1" t="s">
        <v>702</v>
      </c>
    </row>
    <row r="16" spans="1:4" x14ac:dyDescent="0.2">
      <c r="A16" t="s">
        <v>690</v>
      </c>
      <c r="B16" t="s">
        <v>698</v>
      </c>
      <c r="C16" t="s">
        <v>709</v>
      </c>
      <c r="D16" s="1" t="s">
        <v>702</v>
      </c>
    </row>
    <row r="17" spans="1:4" x14ac:dyDescent="0.2">
      <c r="A17" t="s">
        <v>691</v>
      </c>
      <c r="B17" t="s">
        <v>705</v>
      </c>
      <c r="C17" t="s">
        <v>706</v>
      </c>
      <c r="D17" s="1" t="s">
        <v>702</v>
      </c>
    </row>
    <row r="18" spans="1:4" x14ac:dyDescent="0.2">
      <c r="A18" t="s">
        <v>692</v>
      </c>
      <c r="B18" t="s">
        <v>705</v>
      </c>
      <c r="C18" t="s">
        <v>710</v>
      </c>
      <c r="D18" s="1" t="s">
        <v>702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919D3-7A5B-4C43-A06C-56CF797A32C4}">
  <dimension ref="A1:G44"/>
  <sheetViews>
    <sheetView workbookViewId="0">
      <selection activeCell="F8" sqref="F8"/>
    </sheetView>
  </sheetViews>
  <sheetFormatPr baseColWidth="10" defaultColWidth="48.33203125" defaultRowHeight="15" x14ac:dyDescent="0.2"/>
  <cols>
    <col min="1" max="1" width="5.1640625" bestFit="1" customWidth="1"/>
    <col min="4" max="4" width="19.5" bestFit="1" customWidth="1"/>
  </cols>
  <sheetData>
    <row r="1" spans="1:7" x14ac:dyDescent="0.2">
      <c r="A1" t="s">
        <v>627</v>
      </c>
      <c r="B1" t="s">
        <v>628</v>
      </c>
      <c r="C1" t="s">
        <v>629</v>
      </c>
      <c r="D1" t="s">
        <v>630</v>
      </c>
      <c r="E1" t="s">
        <v>631</v>
      </c>
      <c r="F1" t="s">
        <v>632</v>
      </c>
      <c r="G1" t="s">
        <v>633</v>
      </c>
    </row>
    <row r="2" spans="1:7" s="1" customFormat="1" x14ac:dyDescent="0.2">
      <c r="A2" s="5">
        <f>Papers_reports!C2</f>
        <v>2026</v>
      </c>
      <c r="B2" s="1" t="s">
        <v>634</v>
      </c>
      <c r="C2" s="1" t="str">
        <f>Papers_reports!D2</f>
        <v>Random forest predictions of total dissolved solids in groundwater in three dimensions across the continental United States</v>
      </c>
      <c r="D2" s="1" t="s">
        <v>635</v>
      </c>
      <c r="E2" s="1" t="str">
        <f>Papers_reports!B2</f>
        <v>Knierim, K.J., Stackelberg, P.E., McCleskey, R.B., Cravotta, C.A. III,  Belitz, K., Killian, C.D.</v>
      </c>
      <c r="F2" s="1" t="str">
        <f>Papers_reports!E2</f>
        <v>Water Resources Research, submitted</v>
      </c>
      <c r="G2" s="1">
        <f>Papers_reports!F2</f>
        <v>0</v>
      </c>
    </row>
    <row r="3" spans="1:7" s="1" customFormat="1" x14ac:dyDescent="0.2">
      <c r="A3" s="5">
        <f>Papers_reports!C3</f>
        <v>2026</v>
      </c>
      <c r="B3" s="1" t="s">
        <v>634</v>
      </c>
      <c r="C3" s="1" t="str">
        <f>Papers_reports!D3</f>
        <v>Predicting groundwater hydrochemical facies in three dimensions across the conterminous United States with random forest classification</v>
      </c>
      <c r="D3" s="1" t="s">
        <v>636</v>
      </c>
      <c r="E3" s="1" t="str">
        <f>Papers_reports!B3</f>
        <v>Stackelberg, P.E., Knierim, K.J., Belitz, K., Cravotta, C.A. III, McCleskey, R.B., Killian, C.D.</v>
      </c>
      <c r="F3" s="1" t="str">
        <f>Papers_reports!E3</f>
        <v>Groundwater, submitted</v>
      </c>
      <c r="G3" s="1">
        <f>Papers_reports!F3</f>
        <v>0</v>
      </c>
    </row>
    <row r="4" spans="1:7" s="1" customFormat="1" x14ac:dyDescent="0.2">
      <c r="A4" s="5">
        <f>Papers_reports!C4</f>
        <v>2026</v>
      </c>
      <c r="B4" s="1" t="s">
        <v>637</v>
      </c>
      <c r="C4" s="1" t="str">
        <f>Papers_reports!D4</f>
        <v>Geochemical modeling of rare earth element adsorption onto aluminum hydroxide and hydroxysulfate under variable sulfate conditions</v>
      </c>
      <c r="D4" s="1" t="s">
        <v>638</v>
      </c>
      <c r="E4" s="1" t="str">
        <f>Papers_reports!B4</f>
        <v>Boothe-Lordon, T.J.Cravotta, C.A. III, Tasker, T.L., Stewart, B.W., Capo, R.C., Hedin, B.</v>
      </c>
      <c r="F4" s="1" t="str">
        <f>Papers_reports!E4</f>
        <v>Chemosphere, submitted</v>
      </c>
      <c r="G4" s="1">
        <f>Papers_reports!F4</f>
        <v>0</v>
      </c>
    </row>
    <row r="5" spans="1:7" s="1" customFormat="1" x14ac:dyDescent="0.2">
      <c r="A5" s="5">
        <f>Papers_reports!C5</f>
        <v>2026</v>
      </c>
      <c r="B5" s="1" t="s">
        <v>637</v>
      </c>
      <c r="C5" s="1" t="str">
        <f>Papers_reports!D5</f>
        <v>Sorption of rare-earth elements with hydrous ferric oxide and hydrous aluminum oxide--Roles of sulfate and pH</v>
      </c>
      <c r="D5" s="1" t="s">
        <v>639</v>
      </c>
      <c r="E5" s="1" t="str">
        <f>Papers_reports!B5</f>
        <v>Tasker, T.L., Cravotta, C.A. III, Roman, B.</v>
      </c>
      <c r="F5" s="1" t="str">
        <f>Papers_reports!E5</f>
        <v>Chemosphere, submitted</v>
      </c>
      <c r="G5" s="3" t="str">
        <f>Papers_reports!F5</f>
        <v>http://dx.doi.org/10.2139/ssrn.6208107</v>
      </c>
    </row>
    <row r="6" spans="1:7" s="1" customFormat="1" x14ac:dyDescent="0.2">
      <c r="A6" s="5">
        <f>Papers_reports!C6</f>
        <v>2026</v>
      </c>
      <c r="B6" s="1" t="s">
        <v>640</v>
      </c>
      <c r="C6" s="1" t="str">
        <f>Papers_reports!D6</f>
        <v>Enhanced phosphorus removal via cotreatment of mine drainage during primary municipal wastewater clarification</v>
      </c>
      <c r="D6" s="1" t="s">
        <v>641</v>
      </c>
      <c r="E6" s="1" t="str">
        <f>Papers_reports!B6</f>
        <v>Roman, B., Cravotta, C.A. III, Spellman Jr., C.J., Strosnider, W.H.J., Goodwill, J.E., Tasker, T.L.</v>
      </c>
      <c r="F6" s="1" t="str">
        <f>Papers_reports!E6</f>
        <v>Ecological Engineering 98 (2) e70298</v>
      </c>
      <c r="G6" s="3" t="str">
        <f>Papers_reports!F6</f>
        <v>https://doi.org/10.1002/wer.70298</v>
      </c>
    </row>
    <row r="7" spans="1:7" s="1" customFormat="1" x14ac:dyDescent="0.2">
      <c r="A7" s="5">
        <f>Papers_reports!C7</f>
        <v>2026</v>
      </c>
      <c r="B7" s="1" t="s">
        <v>634</v>
      </c>
      <c r="C7" s="1" t="str">
        <f>Papers_reports!D7</f>
        <v>Groundwater salinity:  Applying the specific conductance and water type proxy</v>
      </c>
      <c r="D7" s="1" t="s">
        <v>642</v>
      </c>
      <c r="E7" s="1" t="str">
        <f>Papers_reports!B7</f>
        <v>McCleskey, B.R., Cravotta, C.A. III, Knierim, K., Stackelberg, P.E., Killian, C.</v>
      </c>
      <c r="F7" s="1" t="str">
        <f>Papers_reports!E7</f>
        <v>Groundwater 64 (2) 150-160</v>
      </c>
      <c r="G7" s="6" t="str">
        <f>Papers_reports!F7</f>
        <v>https://doi.org/10.1111/gwat.70038</v>
      </c>
    </row>
    <row r="8" spans="1:7" s="1" customFormat="1" x14ac:dyDescent="0.2">
      <c r="A8" s="5">
        <f>Papers_reports!C8</f>
        <v>2025</v>
      </c>
      <c r="B8" s="1" t="s">
        <v>643</v>
      </c>
      <c r="C8" s="1" t="str">
        <f>Papers_reports!D8</f>
        <v>Nutrient reductions as co-benefit of acid mine drainage (AMD) treatment: Quantifying nutrient load reductions for restored stream segments in AMD-impacted watersheds</v>
      </c>
      <c r="D8" s="1" t="s">
        <v>644</v>
      </c>
      <c r="E8" s="1" t="str">
        <f>Papers_reports!B8</f>
        <v>Hayes, B., Zhu, W., Dawes, R.J., Cravotta, C.A., Hughes, R., Moyer, G., Tasker, T., Shallenberger, J., Dawes, J.</v>
      </c>
      <c r="F8" s="1" t="str">
        <f>Papers_reports!E8</f>
        <v xml:space="preserve">Chesapeake Bay Program Scientific and Technical Advisory Committee (STAC) Publication Number 25-002, 44 p. </v>
      </c>
      <c r="G8" s="6" t="str">
        <f>Papers_reports!F8</f>
        <v xml:space="preserve">https://www.chesapeake.org/stac/wp-content/uploads/2025/04/STAC-Technical-Review_Acid-Mine-Drainage_25-002.pdf </v>
      </c>
    </row>
    <row r="9" spans="1:7" s="1" customFormat="1" x14ac:dyDescent="0.2">
      <c r="A9" s="5">
        <f>Papers_reports!C9</f>
        <v>2025</v>
      </c>
      <c r="B9" s="1" t="s">
        <v>645</v>
      </c>
      <c r="C9" s="1" t="str">
        <f>Papers_reports!D9</f>
        <v>Specific conductance and water type as a proxy model for salinity and total dissolved solids measurements in the Upper Colorado River Basin</v>
      </c>
      <c r="D9" s="1" t="s">
        <v>642</v>
      </c>
      <c r="E9" s="1" t="str">
        <f>Papers_reports!B9</f>
        <v>McCleskey, R.B., Cravotta, C.A. III, Miller, M.P., Chapin, T.W., Tillman, F., Keith, G.L.</v>
      </c>
      <c r="F9" s="1" t="str">
        <f>Papers_reports!E9</f>
        <v>Applied Geochemistry 184, 106358.</v>
      </c>
      <c r="G9" s="6" t="str">
        <f>Papers_reports!F9</f>
        <v xml:space="preserve">https://doi.org/10.1016/j.apgeochem.2025.106358 </v>
      </c>
    </row>
    <row r="10" spans="1:7" s="1" customFormat="1" x14ac:dyDescent="0.2">
      <c r="A10" s="5">
        <f>Papers_reports!C10</f>
        <v>2025</v>
      </c>
      <c r="B10" s="1" t="s">
        <v>646</v>
      </c>
      <c r="C10" s="1" t="str">
        <f>Papers_reports!D10</f>
        <v>Determination of CO2 and DIC in high-CO2 waters:  An application for the analysis of coal mine waters</v>
      </c>
      <c r="D10" s="1" t="s">
        <v>647</v>
      </c>
      <c r="E10" s="1" t="str">
        <f>Papers_reports!B10</f>
        <v>Vesper, D.J., Cravotta, C.A. III, Lei, L., Wallace, M., Schaffer, C.R.</v>
      </c>
      <c r="F10" s="1" t="str">
        <f>Papers_reports!E10</f>
        <v>Applied Geochemistry 183, 106336.</v>
      </c>
      <c r="G10" s="6" t="str">
        <f>Papers_reports!F10</f>
        <v xml:space="preserve">https://doi.org/10.1016/j.apgeochem.2025.106336 </v>
      </c>
    </row>
    <row r="11" spans="1:7" s="1" customFormat="1" x14ac:dyDescent="0.2">
      <c r="A11" s="5">
        <f>Papers_reports!C11</f>
        <v>2025</v>
      </c>
      <c r="B11" s="1" t="s">
        <v>648</v>
      </c>
      <c r="C11" s="1" t="str">
        <f>Papers_reports!D11</f>
        <v>Acid mine drainage remediation with waste products: Laboratory findings and field model applications</v>
      </c>
      <c r="D11" s="1" t="s">
        <v>649</v>
      </c>
      <c r="E11" s="1" t="str">
        <f>Papers_reports!B11</f>
        <v>Araújo, J.F., Cravotta, C.A. III, Fonseca, R., da Silva, R.P., Prats, A.S., Valente, T.</v>
      </c>
      <c r="F11" s="1" t="str">
        <f>Papers_reports!E11</f>
        <v>Proceedings 2025 International Mine Water Association Conference, Braga, Portugal, 70-76.</v>
      </c>
      <c r="G11" s="6" t="str">
        <f>Papers_reports!F11</f>
        <v xml:space="preserve">https://www.imwa.info/docs/imwa_2025/IMWA2025_Araujo_70.pdf </v>
      </c>
    </row>
    <row r="12" spans="1:7" s="1" customFormat="1" x14ac:dyDescent="0.2">
      <c r="A12" s="5">
        <f>Papers_reports!C12</f>
        <v>2025</v>
      </c>
      <c r="B12" s="1" t="s">
        <v>648</v>
      </c>
      <c r="C12" s="1" t="str">
        <f>Papers_reports!D12</f>
        <v>Improved acidity estimation by integrating comprehensive dissolved metal(oid)s data: A geochemical modeling case study of highly mineralized mine waters</v>
      </c>
      <c r="D12" s="1" t="s">
        <v>650</v>
      </c>
      <c r="E12" s="1" t="str">
        <f>Papers_reports!B12</f>
        <v>Barroso, A.R., Cravotta, C.A. III, Gomes, P., Horta Ribeiro, I.M., Marinho Reis, A.P., Valente, T.M.</v>
      </c>
      <c r="F12" s="1" t="str">
        <f>Papers_reports!E12</f>
        <v>Proceedings 2025 International Mine Water Association Conference, Braga, Portugal, 97-101.</v>
      </c>
      <c r="G12" s="6" t="str">
        <f>Papers_reports!F12</f>
        <v xml:space="preserve">https://www.imwa.info/docs/imwa_2025/IMWA2025_Barroso_97.pdf </v>
      </c>
    </row>
    <row r="13" spans="1:7" s="1" customFormat="1" x14ac:dyDescent="0.2">
      <c r="A13" s="5">
        <f>Papers_reports!C13</f>
        <v>2025</v>
      </c>
      <c r="B13" s="1" t="s">
        <v>648</v>
      </c>
      <c r="C13" t="str">
        <f>Papers_reports!D13</f>
        <v>Water-quality modeling tools to evaluate attenuation of dissolved constituents by precipitation and adsorption reactions during treatment of acid mine drainage</v>
      </c>
      <c r="D13" s="1" t="s">
        <v>651</v>
      </c>
      <c r="E13" s="1" t="str">
        <f>Papers_reports!B13</f>
        <v>Cravotta, C.A. III</v>
      </c>
      <c r="F13" s="1" t="str">
        <f>Papers_reports!E13</f>
        <v xml:space="preserve">Proceedings 2025 International Mine Water Association Conference, Braga, Portugal, 208-213. </v>
      </c>
      <c r="G13" s="6" t="str">
        <f>Papers_reports!F13</f>
        <v xml:space="preserve">https://www.imwa.info/docs/imwa_2025/IMWA2025_CravottaIII_208.pdf </v>
      </c>
    </row>
    <row r="14" spans="1:7" s="1" customFormat="1" x14ac:dyDescent="0.2">
      <c r="A14" s="5">
        <f>Papers_reports!C14</f>
        <v>2024</v>
      </c>
      <c r="B14" s="1" t="s">
        <v>652</v>
      </c>
      <c r="C14" t="str">
        <f>Papers_reports!D14</f>
        <v>Evaluation of coal mine drainage and associated precipitates for radium and rare earth element concentrations</v>
      </c>
      <c r="D14" s="1" t="s">
        <v>653</v>
      </c>
      <c r="E14" t="str">
        <f>Papers_reports!B14</f>
        <v>McDevitt, B., Cravotta, C.A. III, McAleer, R.J., Jackson, J.C., Jubb, A.M., Jolly, G.D., Hedin, B.C., Warner, N.R.</v>
      </c>
      <c r="F14" t="str">
        <f>Papers_reports!E14</f>
        <v>International Journal of Coal Geology 28, 104547.</v>
      </c>
      <c r="G14" s="3" t="str">
        <f>Papers_reports!F14</f>
        <v>https://doi.org/10.1016/j.coal.2024.104547</v>
      </c>
    </row>
    <row r="15" spans="1:7" s="1" customFormat="1" x14ac:dyDescent="0.2">
      <c r="A15" s="5">
        <f>Papers_reports!C15</f>
        <v>2024</v>
      </c>
      <c r="B15" s="1" t="s">
        <v>648</v>
      </c>
      <c r="C15" t="str">
        <f>Papers_reports!D15</f>
        <v>Geochemical modeling to understand and mitigate aquatic contamination by abandoned mine drainage</v>
      </c>
      <c r="D15" s="1" t="s">
        <v>651</v>
      </c>
      <c r="E15" t="str">
        <f>Papers_reports!B15</f>
        <v>Cravotta, C.A. III</v>
      </c>
      <c r="F15" t="str">
        <f>Papers_reports!E15</f>
        <v>Proceedings of the West Virginia Mine Drainage Task Force Symposium &amp; 15th International Mine Water Association Congress, Morgantown, WV, USA, 91-97.</v>
      </c>
      <c r="G15" s="3" t="str">
        <f>Papers_reports!F15</f>
        <v>https://www.imwa.info/docs/imwa_2024/IMWA2024_CravottaIII_91.pdf</v>
      </c>
    </row>
    <row r="16" spans="1:7" s="1" customFormat="1" x14ac:dyDescent="0.2">
      <c r="A16" s="5">
        <f>Papers_reports!C16</f>
        <v>2024</v>
      </c>
      <c r="B16" s="1" t="s">
        <v>637</v>
      </c>
      <c r="C16" t="str">
        <f>Papers_reports!D16</f>
        <v>Laboratory and field observations inform geochemical models of treatment strategies to recover rare-earth elements from acid mine drainage</v>
      </c>
      <c r="D16" s="1" t="s">
        <v>654</v>
      </c>
      <c r="E16" t="str">
        <f>Papers_reports!B16</f>
        <v>Cravotta, C.A. III, Tasker, T.L., Hedin, B.C.</v>
      </c>
      <c r="F16" t="str">
        <f>Papers_reports!E16</f>
        <v xml:space="preserve">Proceedings of the West Virginia Mine Drainage Task Force Symposium &amp; 15th International Mine Water Association Congress, Morgantown, WV, USA, 98-104. </v>
      </c>
      <c r="G16" s="3" t="str">
        <f>Papers_reports!F16</f>
        <v>https://www.imwa.info/docs/imwa_2024/IMWA2024_CravottaIII_98.pdf</v>
      </c>
    </row>
    <row r="17" spans="1:7" s="1" customFormat="1" x14ac:dyDescent="0.2">
      <c r="A17" s="5">
        <f>Papers_reports!C17</f>
        <v>2024</v>
      </c>
      <c r="B17" s="1" t="s">
        <v>655</v>
      </c>
      <c r="C17" t="str">
        <f>Papers_reports!D17</f>
        <v>Coal mine drainage contaminant trend prediction in an Appalachian basin, USA</v>
      </c>
      <c r="D17" s="1" t="s">
        <v>656</v>
      </c>
      <c r="E17" t="str">
        <f>Papers_reports!B17</f>
        <v>Schaffer, C.R., Cravotta, C.A. III, Capo, R.C., Stewart, B.W., Hedin, B.C., Vesper, D.J.</v>
      </c>
      <c r="F17" t="str">
        <f>Papers_reports!E17</f>
        <v xml:space="preserve">Proceedings of the West Virginia Mine Drainage Task Force Symposium &amp; 15th International Mine Water Association Congress, Morgantown, WV, USA, 555-561. </v>
      </c>
      <c r="G17" s="3" t="str">
        <f>Papers_reports!F17</f>
        <v>https://www.imwa.info/docs/imwa_2024/IMWA2024_Schaffer_555.pdf</v>
      </c>
    </row>
    <row r="18" spans="1:7" s="1" customFormat="1" x14ac:dyDescent="0.2">
      <c r="A18" s="5">
        <f>Papers_reports!C18</f>
        <v>2024</v>
      </c>
      <c r="B18" s="1" t="s">
        <v>646</v>
      </c>
      <c r="C18" t="str">
        <f>Papers_reports!D18</f>
        <v>The release of dissolved inorganic carbon (DIC) and CO₂ from coal mine drainages</v>
      </c>
      <c r="D18" s="1" t="s">
        <v>647</v>
      </c>
      <c r="E18" t="str">
        <f>Papers_reports!B18</f>
        <v>Vesper, D.J, Cravotta, C.A. III, Fredrick, K., Herman, E.K., Lei, L., Riddell, J.L., Bell, M.L., Rockwell, L.J., Schaffer, C.R.</v>
      </c>
      <c r="F18" t="str">
        <f>Papers_reports!E18</f>
        <v>Proceedings of the West Virginia Mine Drainage Task Force Symposium &amp; 15th International Mine Water Association Congress, Morgantown, WV, USA, 625-626.</v>
      </c>
      <c r="G18" s="3" t="str">
        <f>Papers_reports!F18</f>
        <v>https://www.imwa.info/docs/imwa_2024/IMWA2024_Vesper_625.pdf</v>
      </c>
    </row>
    <row r="19" spans="1:7" s="1" customFormat="1" x14ac:dyDescent="0.2">
      <c r="A19" s="5">
        <f>Papers_reports!C19</f>
        <v>2024</v>
      </c>
      <c r="B19" s="2" t="s">
        <v>657</v>
      </c>
      <c r="C19" s="2" t="str">
        <f>Papers_reports!D19</f>
        <v>Interactive PHREEQ-N-Ra-Cl-pH-Titration water-quality modeling tools to evaluate potential aqueous/solid equilibrium distributions of radium and associated dissolved constituents in response to changes in salinity or pH (software download)</v>
      </c>
      <c r="D19" s="2" t="s">
        <v>651</v>
      </c>
      <c r="E19" s="2" t="str">
        <f>Papers_reports!B19</f>
        <v>Cravotta, C.A. III</v>
      </c>
      <c r="F19" s="2" t="str">
        <f>Papers_reports!E19</f>
        <v>: U.S. Geological Survey Software Release.</v>
      </c>
      <c r="G19" s="6" t="str">
        <f>Papers_reports!F19</f>
        <v>https://doi.org/10.5066/P9157D7U</v>
      </c>
    </row>
    <row r="20" spans="1:7" s="1" customFormat="1" x14ac:dyDescent="0.2">
      <c r="A20" s="5">
        <f>Papers_reports!C20</f>
        <v>2024</v>
      </c>
      <c r="B20" s="1" t="s">
        <v>655</v>
      </c>
      <c r="C20" s="1" t="str">
        <f>Papers_reports!D20</f>
        <v>Multi-decadal geochemical evolution of drainage from underground coal mines in the Appalachian basin, USA</v>
      </c>
      <c r="D20" s="1" t="s">
        <v>656</v>
      </c>
      <c r="E20" s="1" t="str">
        <f>Papers_reports!B20</f>
        <v>Schaffer, C.R., Cravotta, C.A. III, Capo, R.C., Hedin, B.C., Vesper, D.J., Stewart, B.W.</v>
      </c>
      <c r="F20" s="1" t="str">
        <f>Papers_reports!E20</f>
        <v>Science of the Total Environment 947, 174681.</v>
      </c>
      <c r="G20" s="6" t="str">
        <f>Papers_reports!F20</f>
        <v>https://doi.org/10.1016/j.scitotenv.2024.174681</v>
      </c>
    </row>
    <row r="21" spans="1:7" s="1" customFormat="1" x14ac:dyDescent="0.2">
      <c r="A21" s="5">
        <f>Papers_reports!C21</f>
        <v>2024</v>
      </c>
      <c r="B21" s="1" t="s">
        <v>645</v>
      </c>
      <c r="C21" s="1" t="str">
        <f>Papers_reports!D21</f>
        <v>Exploring spatial and temporal symptoms of the freshwater salinization syndrome in a rural to urban watershed</v>
      </c>
      <c r="D21" s="1" t="s">
        <v>658</v>
      </c>
      <c r="E21" s="1" t="str">
        <f>Papers_reports!B21</f>
        <v>Marks, N.J., Cravotta, C.A. III, Rossi, M.L., Silva, C., Kremer, P., Goldsmith, S.</v>
      </c>
      <c r="F21" s="1" t="str">
        <f>Papers_reports!E21</f>
        <v>Science of the Total Environment 947, 174266.</v>
      </c>
      <c r="G21" s="6" t="str">
        <f>Papers_reports!F21</f>
        <v>https://doi.org/10.1016/j.scitotenv.2024.174266</v>
      </c>
    </row>
    <row r="22" spans="1:7" s="1" customFormat="1" x14ac:dyDescent="0.2">
      <c r="A22" s="5">
        <f>Papers_reports!C22</f>
        <v>2024</v>
      </c>
      <c r="B22" s="1" t="s">
        <v>659</v>
      </c>
      <c r="C22" s="1" t="str">
        <f>Papers_reports!D22</f>
        <v>Complex hydrology and variability of nitrogen sources in a karst watershed</v>
      </c>
      <c r="D22" s="1" t="s">
        <v>660</v>
      </c>
      <c r="E22" s="1" t="str">
        <f>Papers_reports!B22</f>
        <v>Clune, J.W., Cravotta, C.A. III, Husic, A., Dozier, H.J., Schimdt, K.E.</v>
      </c>
      <c r="F22" s="1" t="str">
        <f>Papers_reports!E22</f>
        <v>Journal of Environmental Quality 53, 492-507.</v>
      </c>
      <c r="G22" s="6" t="str">
        <f>Papers_reports!F22</f>
        <v>https://doi.org/10.1002/jeq2.20578</v>
      </c>
    </row>
    <row r="23" spans="1:7" s="1" customFormat="1" x14ac:dyDescent="0.2">
      <c r="A23" s="5">
        <f>Papers_reports!C23</f>
        <v>2024</v>
      </c>
      <c r="B23" s="1" t="s">
        <v>643</v>
      </c>
      <c r="C23" t="str">
        <f>Papers_reports!D23</f>
        <v>Legacy sediment as a potential source of orthophosphate: Preliminary conceptual and geochemical models for the Susquehanna River, Chesapeake Bay Watershed, USA</v>
      </c>
      <c r="D23" s="1" t="s">
        <v>654</v>
      </c>
      <c r="E23" s="1" t="str">
        <f>Papers_reports!B23</f>
        <v>Cravotta, C.A. III, Tasker, T.L., Smyntek, P.M., Blomquist, J.D., Clune, J.W., Zhang, Q., Schmadel, N.M., Schmer, N.K.</v>
      </c>
      <c r="F23" s="1" t="str">
        <f>Papers_reports!E23</f>
        <v>Science of the Total Environment 912, 169361.</v>
      </c>
      <c r="G23" s="6" t="str">
        <f>Papers_reports!F23</f>
        <v>https://doi.org/10.1016/j.scitotenv.2023.169361</v>
      </c>
    </row>
    <row r="24" spans="1:7" s="1" customFormat="1" x14ac:dyDescent="0.2">
      <c r="A24" s="5">
        <f>Papers_reports!C24</f>
        <v>2024</v>
      </c>
      <c r="B24" s="1" t="s">
        <v>637</v>
      </c>
      <c r="C24" t="str">
        <f>Papers_reports!D24</f>
        <v>Determination and prediction of micro scale rare earth element geochemical associations in mine drainage treatment wastes</v>
      </c>
      <c r="D24" s="1" t="s">
        <v>661</v>
      </c>
      <c r="E24" s="1" t="str">
        <f>Papers_reports!B24</f>
        <v>Hedin, B.C., Stuckman, M.Y., Cravotta C.A. III, Lopano, C.L., Capo, R.C.</v>
      </c>
      <c r="F24" s="1" t="str">
        <f>Papers_reports!E24</f>
        <v>Chemosphere 346, 147475.</v>
      </c>
      <c r="G24" s="6" t="str">
        <f>Papers_reports!F24</f>
        <v>https://doi.org/10.1016/j.chemosphere.2023.140475</v>
      </c>
    </row>
    <row r="25" spans="1:7" s="1" customFormat="1" x14ac:dyDescent="0.2">
      <c r="A25" s="5">
        <f>Papers_reports!C25</f>
        <v>2023</v>
      </c>
      <c r="B25" s="1" t="s">
        <v>645</v>
      </c>
      <c r="C25" s="1" t="str">
        <f>Papers_reports!D25</f>
        <v>Land development and road salt usage drive long-term changes in major-ion chemistry of streamwater in six exurban and suburban watersheds, southeastern Pennsylvania, 1999–2019</v>
      </c>
      <c r="D25" s="1" t="s">
        <v>662</v>
      </c>
      <c r="E25" s="1" t="str">
        <f>Papers_reports!B25</f>
        <v>Rossi, M.L., Kremer, P., Cravotta, C.A., Seng, K.E., Goldsmith, S.T.</v>
      </c>
      <c r="F25" s="1" t="str">
        <f>Papers_reports!E25</f>
        <v>Frontiers in Environmental Science 11, 1153133.</v>
      </c>
      <c r="G25" s="6" t="str">
        <f>Papers_reports!F25</f>
        <v>https://doi.org/10.3389/fenvs.2023.1153133</v>
      </c>
    </row>
    <row r="26" spans="1:7" s="1" customFormat="1" x14ac:dyDescent="0.2">
      <c r="A26" s="5">
        <f>Papers_reports!C26</f>
        <v>2023</v>
      </c>
      <c r="B26" s="1" t="s">
        <v>645</v>
      </c>
      <c r="C26" s="1" t="str">
        <f>Papers_reports!D26</f>
        <v>Salinity and total dissolved solids measurements for natural waters: an overview and a new salinity estimation method based on specific conductance measurements and water ty</v>
      </c>
      <c r="D26" s="1" t="s">
        <v>642</v>
      </c>
      <c r="E26" s="1" t="str">
        <f>Papers_reports!B26</f>
        <v>McCleskey, R.B., Cravotta C.A. III, Miller, M.P., Tillman, F., Stackelberg, P., Knierim, K.J., Wise, D.R.</v>
      </c>
      <c r="F26" s="1" t="str">
        <f>Papers_reports!E26</f>
        <v>Applied Geochemistry 154 105684.</v>
      </c>
      <c r="G26" s="6" t="str">
        <f>Papers_reports!F26</f>
        <v>https://doi.org/10.1016/j.apgeochem.2023.105684</v>
      </c>
    </row>
    <row r="27" spans="1:7" s="1" customFormat="1" x14ac:dyDescent="0.2">
      <c r="A27" s="5">
        <f>Papers_reports!C27</f>
        <v>2023</v>
      </c>
      <c r="B27" s="1" t="s">
        <v>663</v>
      </c>
      <c r="C27" s="1" t="str">
        <f>Papers_reports!D27</f>
        <v>Gross alpha-particle activity regulation might not be protective for 210Po in the Atlantic and Gulf Coastal Plain aquifers of the United States</v>
      </c>
      <c r="D27" s="1" t="s">
        <v>664</v>
      </c>
      <c r="E27" s="1" t="str">
        <f>Papers_reports!B27</f>
        <v>Szabo, Z., Cravotta, C.A. III, Stackelberg, P.E., Belitz, K.</v>
      </c>
      <c r="F27" s="1" t="str">
        <f>Papers_reports!E27</f>
        <v>ES&amp;T Water 3, 262-274.</v>
      </c>
      <c r="G27" s="6" t="str">
        <f>Papers_reports!F27</f>
        <v>https://doi.org/10.1021/acsestwater.2c00027</v>
      </c>
    </row>
    <row r="28" spans="1:7" s="1" customFormat="1" x14ac:dyDescent="0.2">
      <c r="A28" s="5">
        <f>Papers_reports!C28</f>
        <v>2022</v>
      </c>
      <c r="B28" s="1" t="s">
        <v>652</v>
      </c>
      <c r="C28" s="1" t="str">
        <f>Papers_reports!D28</f>
        <v>PHREEQ-N-AMDTreat+REYS water-quality modeling tools to evaluate acid mine drainage treatment strategies for recovery of rare-earth elements</v>
      </c>
      <c r="D28" s="1" t="s">
        <v>651</v>
      </c>
      <c r="E28" s="1" t="str">
        <f>Papers_reports!B28</f>
        <v>Cravotta, C.A. III</v>
      </c>
      <c r="F28" s="1" t="str">
        <f>Papers_reports!E28</f>
        <v>Proceedings of the 12th International Conference on Acid Mine Drainage, online. 18-24 September 2022, 788-804.</v>
      </c>
      <c r="G28" s="6" t="str">
        <f>Papers_reports!F28</f>
        <v>https://drive.google.com/file/d/1H07fhUBKaqLFTQl5DwYH-bxOHWctIdbJ/view</v>
      </c>
    </row>
    <row r="29" spans="1:7" s="1" customFormat="1" x14ac:dyDescent="0.2">
      <c r="A29" s="5">
        <f>Papers_reports!C29</f>
        <v>2022</v>
      </c>
      <c r="B29" s="1" t="s">
        <v>652</v>
      </c>
      <c r="C29" s="1" t="str">
        <f>Papers_reports!D29</f>
        <v>Determination and prediction of rare earth element geochemical associations in acid mine drainage treatment wastes</v>
      </c>
      <c r="D29" s="1" t="s">
        <v>661</v>
      </c>
      <c r="E29" s="1" t="str">
        <f>Papers_reports!B29</f>
        <v>Hedin, B.C., Cravotta, C.A., Stuckman, M.Y., Lopano, C.L., Capo, R.C., Hedin, R.S.</v>
      </c>
      <c r="F29" s="1" t="str">
        <f>Papers_reports!E29</f>
        <v>Proceedings of the 12th International Conference on Acid Mine Drainage, online. 18-24 September 2022, 626-633.</v>
      </c>
      <c r="G29" s="6" t="str">
        <f>Papers_reports!F29</f>
        <v>https://drive.google.com/file/d/1H07fhUBKaqLFTQl5DwYH-bxOHWctIdbJ/view</v>
      </c>
    </row>
    <row r="30" spans="1:7" s="1" customFormat="1" x14ac:dyDescent="0.2">
      <c r="A30" s="5">
        <f>Papers_reports!C30</f>
        <v>2022</v>
      </c>
      <c r="B30" s="1" t="s">
        <v>645</v>
      </c>
      <c r="C30" s="1" t="str">
        <f>Papers_reports!D30</f>
        <v>Long-term impacts of impervious surface cover change and roadway deicing agent application on chloride concentrations in exurban and suburban watersheds</v>
      </c>
      <c r="D30" s="1" t="s">
        <v>662</v>
      </c>
      <c r="E30" s="1" t="str">
        <f>Papers_reports!B30</f>
        <v>Rossi, M.L., Kremer, Peleg, Cravotta, C.A., Scheirer, K.E., Goldsmith, S.T.</v>
      </c>
      <c r="F30" s="1" t="str">
        <f>Papers_reports!E30</f>
        <v>Science of the Total Environment 851, 157933.</v>
      </c>
      <c r="G30" s="6" t="str">
        <f>Papers_reports!F30</f>
        <v>https://doi.org/10.1016/j.scitotenv.2022.157933</v>
      </c>
    </row>
    <row r="31" spans="1:7" s="1" customFormat="1" x14ac:dyDescent="0.2">
      <c r="A31" s="5">
        <f>Papers_reports!C31</f>
        <v>2022</v>
      </c>
      <c r="B31" s="2" t="s">
        <v>652</v>
      </c>
      <c r="C31" s="2" t="str">
        <f>Papers_reports!D31</f>
        <v>Interactive PHREEQ-N-AMDTreat+REYs water-quality modeling tools to evaluate potential attenuation of rare-earth elements and associated dissolved constituents by aqueous-solid equilibrium processes (software download)</v>
      </c>
      <c r="D31" s="2" t="s">
        <v>651</v>
      </c>
      <c r="E31" s="2" t="str">
        <f>Papers_reports!B31</f>
        <v>Cravotta, C.A. III</v>
      </c>
      <c r="F31" s="2" t="str">
        <f>Papers_reports!E31</f>
        <v xml:space="preserve">U.S. Geological Survey Software Release. </v>
      </c>
      <c r="G31" s="6" t="str">
        <f>Papers_reports!F31</f>
        <v>https://doi.org/10.5066/P9M5QVK0</v>
      </c>
    </row>
    <row r="32" spans="1:7" s="1" customFormat="1" x14ac:dyDescent="0.2">
      <c r="A32" s="5">
        <f>Papers_reports!C32</f>
        <v>2022</v>
      </c>
      <c r="B32" s="1" t="s">
        <v>640</v>
      </c>
      <c r="C32" s="1" t="str">
        <f>Papers_reports!D32</f>
        <v>Pollutant co-attenuation via in-stream interactions between mine drainage and municipal wastewater</v>
      </c>
      <c r="D32" s="1" t="s">
        <v>665</v>
      </c>
      <c r="E32" s="1" t="str">
        <f>Papers_reports!B32</f>
        <v>Spellman, C.J. Jr., Smyntek, P.M., Cravotta, C.A. III, Tasker, T.L., Strosnider, W.H.J.</v>
      </c>
      <c r="F32" s="1" t="str">
        <f>Papers_reports!E32</f>
        <v>Water Research 214, 118173.</v>
      </c>
      <c r="G32" s="6" t="str">
        <f>Papers_reports!F32</f>
        <v>https://doi.org/10.1016/j.watres.2022.118173</v>
      </c>
    </row>
    <row r="33" spans="1:7" s="1" customFormat="1" x14ac:dyDescent="0.2">
      <c r="A33" s="5">
        <f>Papers_reports!C33</f>
        <v>2022</v>
      </c>
      <c r="B33" s="1" t="s">
        <v>640</v>
      </c>
      <c r="C33" s="1" t="str">
        <f>Papers_reports!D33</f>
        <v>Mine drainage precipitates attenuate and conceal wastewater-derived phosphate pollution in stream water</v>
      </c>
      <c r="D33" s="1" t="s">
        <v>666</v>
      </c>
      <c r="E33" s="1" t="str">
        <f>Papers_reports!B33</f>
        <v>Smyntek, P., Lamagna, N., Cravotta, C.A. III, Strosnider, W.H.J.</v>
      </c>
      <c r="F33" s="1" t="str">
        <f>Papers_reports!E33</f>
        <v>Science of the Total Environment 815, 152672.</v>
      </c>
      <c r="G33" s="6" t="str">
        <f>Papers_reports!F33</f>
        <v>http://dx.doi.org/10.1016/j.scitotenv.2021.152672</v>
      </c>
    </row>
    <row r="34" spans="1:7" s="1" customFormat="1" x14ac:dyDescent="0.2">
      <c r="A34" s="5">
        <f>Papers_reports!C34</f>
        <v>2022</v>
      </c>
      <c r="B34" s="1" t="s">
        <v>667</v>
      </c>
      <c r="C34" s="1" t="str">
        <f>Papers_reports!D34</f>
        <v>Factors affecting groundwater quality used for domestic supply in Marcellus Shale region of north-central and north-east Pennsylvania, USA</v>
      </c>
      <c r="D34" s="1" t="s">
        <v>654</v>
      </c>
      <c r="E34" s="1" t="str">
        <f>Papers_reports!B34</f>
        <v>Cravotta, C.A. III, Senior, L.A., Conlon, M.D.</v>
      </c>
      <c r="F34" s="1" t="str">
        <f>Papers_reports!E34</f>
        <v>Applied Geochemistry 137, 105149.</v>
      </c>
      <c r="G34" s="6" t="str">
        <f>Papers_reports!F34</f>
        <v>https://doi.org/10.1016/j.apgeochem.2021.105149</v>
      </c>
    </row>
    <row r="35" spans="1:7" s="1" customFormat="1" x14ac:dyDescent="0.2">
      <c r="A35" s="5">
        <f>Papers_reports!C35</f>
        <v>2021</v>
      </c>
      <c r="B35" s="1" t="s">
        <v>668</v>
      </c>
      <c r="C35" s="1" t="str">
        <f>Papers_reports!D35</f>
        <v>Relation between road-salt application and increasing radium concentrations in a low-pH aquifer, southern New Jersey</v>
      </c>
      <c r="D35" s="1" t="s">
        <v>669</v>
      </c>
      <c r="E35" s="1" t="str">
        <f>Papers_reports!B35</f>
        <v>Lindsey, B.D., Cravotta, C.A. III, Szabo, Z., Belitz, K., Stackelberg, P.E.</v>
      </c>
      <c r="F35" s="1" t="str">
        <f>Papers_reports!E35</f>
        <v>ES&amp;T Water 1, 2541-2547.</v>
      </c>
      <c r="G35" s="6" t="str">
        <f>Papers_reports!F35</f>
        <v>https://doi.org/10.1021/acsestwater.1c00307</v>
      </c>
    </row>
    <row r="36" spans="1:7" s="1" customFormat="1" x14ac:dyDescent="0.2">
      <c r="A36" s="5">
        <f>Papers_reports!C36</f>
        <v>2021</v>
      </c>
      <c r="B36" s="2" t="s">
        <v>670</v>
      </c>
      <c r="C36" s="2" t="str">
        <f>Papers_reports!D36</f>
        <v>Interactive PHREEQ-N-Titration-PO4-Adsorption water-quality modeling tools to evaluate potential attenuation of phosphate and associated dissolved constituents by aqueous-solid equilibrium processes (software download)</v>
      </c>
      <c r="D36" s="2" t="s">
        <v>651</v>
      </c>
      <c r="E36" s="2" t="str">
        <f>Papers_reports!B36</f>
        <v>Cravotta, C.A. III</v>
      </c>
      <c r="F36" s="2" t="str">
        <f>Papers_reports!E36</f>
        <v xml:space="preserve">U.S. Geological Survey Software Release. </v>
      </c>
      <c r="G36" s="6" t="str">
        <f>Papers_reports!F36</f>
        <v>https://doi.org/10.5066/P9D8VQDV</v>
      </c>
    </row>
    <row r="37" spans="1:7" s="1" customFormat="1" x14ac:dyDescent="0.2">
      <c r="A37" s="5">
        <f>Papers_reports!C37</f>
        <v>2021</v>
      </c>
      <c r="B37" s="1" t="s">
        <v>671</v>
      </c>
      <c r="C37" s="1" t="str">
        <f>Papers_reports!D37</f>
        <v>Machine-learning predictions of high arsenic and high manganese at drinking water depths of the Glacial Aquifer System, northern continental United States</v>
      </c>
      <c r="D37" s="1" t="s">
        <v>672</v>
      </c>
      <c r="E37" s="1" t="str">
        <f>Papers_reports!B37</f>
        <v xml:space="preserve">Erickson, M.L., Elliott, S.M., Brown, C.J., Stackelberg, P.E., Ransom, K.M., Reddy, J.E., Cravotta, C.A. III </v>
      </c>
      <c r="F37" s="1" t="str">
        <f>Papers_reports!E37</f>
        <v>Environmental Science &amp; Technology 55, 5791-5805.</v>
      </c>
      <c r="G37" s="6" t="str">
        <f>Papers_reports!F37</f>
        <v>https://doi.org/10.1021/acs.est.0c06740</v>
      </c>
    </row>
    <row r="38" spans="1:7" s="1" customFormat="1" x14ac:dyDescent="0.2">
      <c r="A38" s="5">
        <f>Papers_reports!C38</f>
        <v>2021</v>
      </c>
      <c r="B38" s="1" t="s">
        <v>648</v>
      </c>
      <c r="C38" s="1" t="str">
        <f>Papers_reports!D38</f>
        <v>Interactive PHREEQ-N-AMDTreat water-quality modeling tools to evaluate performance and design of treatment systems for acid mine drainage</v>
      </c>
      <c r="D38" s="1" t="s">
        <v>651</v>
      </c>
      <c r="E38" s="1" t="str">
        <f>Papers_reports!B38</f>
        <v>Cravotta, C.A. III</v>
      </c>
      <c r="F38" s="1" t="str">
        <f>Papers_reports!E38</f>
        <v>Applied Geochemistry 126, 10845.</v>
      </c>
      <c r="G38" s="6" t="str">
        <f>Papers_reports!F38</f>
        <v>https://doi.org/10.1016/j.apgeochem.2020.104845</v>
      </c>
    </row>
    <row r="39" spans="1:7" s="1" customFormat="1" x14ac:dyDescent="0.2">
      <c r="A39" s="5">
        <f>Papers_reports!C39</f>
        <v>2021</v>
      </c>
      <c r="B39" s="1" t="s">
        <v>673</v>
      </c>
      <c r="C39" s="1" t="str">
        <f>Papers_reports!D39</f>
        <v>Lithium in groundwater used for drinking-water supply in the United States</v>
      </c>
      <c r="D39" s="1" t="s">
        <v>669</v>
      </c>
      <c r="E39" s="1" t="str">
        <f>Papers_reports!B39</f>
        <v>Lindsey, B.D., Belitz, Kenneth, Cravotta, C.A. III, Dubrovsky, N.M., Toccalino, Patricia</v>
      </c>
      <c r="F39" s="1" t="str">
        <f>Papers_reports!E39</f>
        <v xml:space="preserve">Science of the Total Environment 767, 144691. </v>
      </c>
      <c r="G39" s="6" t="str">
        <f>Papers_reports!F39</f>
        <v>https://doi.org/10.1016/j.scitotenv.2020.144691</v>
      </c>
    </row>
    <row r="40" spans="1:7" s="1" customFormat="1" x14ac:dyDescent="0.2">
      <c r="A40" s="5">
        <f>Papers_reports!C40</f>
        <v>2020</v>
      </c>
      <c r="B40" s="2" t="s">
        <v>648</v>
      </c>
      <c r="C40" s="2" t="str">
        <f>Papers_reports!D40</f>
        <v>Interactive PHREEQ-N-AMDTreat water-quality modeling tools to evaluate performance and design of treatment systems for acid mine drainage (software download)</v>
      </c>
      <c r="D40" s="2" t="s">
        <v>651</v>
      </c>
      <c r="E40" s="2" t="str">
        <f>Papers_reports!B40</f>
        <v>Cravotta, C.A. III</v>
      </c>
      <c r="F40" s="2" t="str">
        <f>Papers_reports!E40</f>
        <v xml:space="preserve">U.S. Geological Survey Software Release. </v>
      </c>
      <c r="G40" s="6" t="str">
        <f>Papers_reports!F40</f>
        <v>https://doi.org/10.5066/P9QEE3D5</v>
      </c>
    </row>
    <row r="41" spans="1:7" s="1" customFormat="1" x14ac:dyDescent="0.2">
      <c r="A41" s="5">
        <f>Papers_reports!C41</f>
        <v>2020</v>
      </c>
      <c r="B41" s="2" t="s">
        <v>674</v>
      </c>
      <c r="C41" s="2" t="str">
        <f>Papers_reports!D41</f>
        <v>Groundwater quality in relation to drinking water health standards and hydrogeologic and geochemical characteristics for 47 domestic wells in Potter County, Pennsylvania, 2017</v>
      </c>
      <c r="D41" s="2" t="s">
        <v>675</v>
      </c>
      <c r="E41" s="2" t="str">
        <f>Papers_reports!B41</f>
        <v>Galeone, D.G., Cravotta, C.A. III, Risser, D.W.</v>
      </c>
      <c r="F41" s="2" t="str">
        <f>Papers_reports!E41</f>
        <v>U.S. Geological Survey Scientific Investigations Report 2020-5038, 67 p.</v>
      </c>
      <c r="G41" s="6" t="str">
        <f>Papers_reports!F41</f>
        <v>https://doi.org/10.3133/sir20205038</v>
      </c>
    </row>
    <row r="42" spans="1:7" s="1" customFormat="1" x14ac:dyDescent="0.2">
      <c r="A42" s="5">
        <f>Papers_reports!C42</f>
        <v>2020</v>
      </c>
      <c r="B42" s="1" t="s">
        <v>676</v>
      </c>
      <c r="C42" s="1" t="str">
        <f>Papers_reports!D42</f>
        <v>Occurrence and geochemistry of lead-210 and polonium-210 radionuclides in public drinking water supplies from principal aquifers of the United States</v>
      </c>
      <c r="D42" s="1" t="s">
        <v>664</v>
      </c>
      <c r="E42" s="1" t="str">
        <f>Papers_reports!B42</f>
        <v>Szabo, Z., Stackelberg, P.E., Cravotta, C.A. III</v>
      </c>
      <c r="F42" s="1" t="str">
        <f>Papers_reports!E42</f>
        <v>Environmental Science &amp; Technology 54, 7236-7249.</v>
      </c>
      <c r="G42" s="6" t="str">
        <f>Papers_reports!F42</f>
        <v>https://doi.org/10.1021/acs.est.0c00192</v>
      </c>
    </row>
    <row r="43" spans="1:7" s="1" customFormat="1" x14ac:dyDescent="0.2">
      <c r="A43" s="5">
        <f>Papers_reports!C43</f>
        <v>2020</v>
      </c>
      <c r="B43" s="2" t="s">
        <v>674</v>
      </c>
      <c r="C43" s="2" t="str">
        <f>Papers_reports!D43</f>
        <v>Groundwater quality in relation to drinking water health standards and geochemical characteristics for 54 domestic wells in Clinton County, Pennsylvania, 2017</v>
      </c>
      <c r="D43" s="2" t="s">
        <v>677</v>
      </c>
      <c r="E43" s="2" t="str">
        <f>Papers_reports!B43</f>
        <v>Clune, J.W., Cravotta, C.A. III</v>
      </c>
      <c r="F43" s="2" t="str">
        <f>Papers_reports!E43</f>
        <v>U.S. Geological Survey Scientific Investigations Report 2020-5022, 72 p.</v>
      </c>
      <c r="G43" s="6" t="str">
        <f>Papers_reports!F43</f>
        <v>https://doi.org/10.3133/sir20205022</v>
      </c>
    </row>
    <row r="44" spans="1:7" s="1" customFormat="1" x14ac:dyDescent="0.2">
      <c r="A44" s="5">
        <f>Papers_reports!C44</f>
        <v>2020</v>
      </c>
      <c r="B44" s="1" t="s">
        <v>678</v>
      </c>
      <c r="C44" s="1" t="str">
        <f>Papers_reports!D44</f>
        <v>Batch extraction method to estimate total dissolved solids (TDS) release from coal refuse and overburden</v>
      </c>
      <c r="D44" s="1" t="s">
        <v>679</v>
      </c>
      <c r="E44" s="1" t="str">
        <f>Papers_reports!B44</f>
        <v>Castillo-Meza, L.E., Cravotta, C.A. III, Tasker, T.L., Warner, N.R., Daniels, W.L., Orndorff, Z.W., Bergstresser, T., Douglass, A., Kimble, G., Streczywilk, J., Barton, C., Fulton, S., Thompson A., Burgos, W.D.</v>
      </c>
      <c r="F44" s="1" t="str">
        <f>Papers_reports!E44</f>
        <v>Applied Geochemistry 115, 104540.</v>
      </c>
      <c r="G44" s="6" t="str">
        <f>Papers_reports!F44</f>
        <v>https://doi.org/10.1016/j.apgeochem.2020.104540</v>
      </c>
    </row>
  </sheetData>
  <hyperlinks>
    <hyperlink ref="G5" r:id="rId1" display="http://dx.doi.org/10.2139/ssrn.6208107" xr:uid="{854EDE79-8E9A-4FF5-837F-61D10D4B6AEC}"/>
    <hyperlink ref="G6" r:id="rId2" display="https://doi.org/10.1002/wer.70298" xr:uid="{F07A1DF1-495D-4267-9E76-DA534D580D58}"/>
    <hyperlink ref="G7" r:id="rId3" display="https://doi.org/10.1111/gwat.70038" xr:uid="{4D5BB0BF-A48A-4A5A-9CFF-9F0B7BEA2F2C}"/>
    <hyperlink ref="G14" r:id="rId4" display="https://doi.org/10.1016/j.coal.2024.104547" xr:uid="{B014BD65-63F8-4055-B92B-BA97F33E50D0}"/>
    <hyperlink ref="G19" r:id="rId5" display="https://doi.org/10.5066/P9157D7U " xr:uid="{901BCFEE-4416-435D-91B4-488F8F9838F4}"/>
    <hyperlink ref="G17" r:id="rId6" display="https://www.imwa.info/docs/imwa_2024/IMWA2024_Schaffer_555.pdf" xr:uid="{9E865242-9E52-49BD-AC8D-F5849DDDFE33}"/>
    <hyperlink ref="G15" r:id="rId7" display="https://www.imwa.info/docs/imwa_2024/IMWA2024_CravottaIII_91.pdf" xr:uid="{BD074347-CD47-4786-B0CC-0F246D14224D}"/>
    <hyperlink ref="G16" r:id="rId8" display="https://www.imwa.info/docs/imwa_2024/IMWA2024_CravottaIII_98.pdf" xr:uid="{C03FCF46-D6A5-4324-A7DB-BED025D7F2CA}"/>
    <hyperlink ref="G18" r:id="rId9" display="https://www.imwa.info/docs/imwa_2024/IMWA2024_Vesper_625.pdf" xr:uid="{E68A7EDA-199A-431C-8013-A002590748AF}"/>
    <hyperlink ref="G26" r:id="rId10" display="https://doi.org/10.1016/j.apgeochem.2023.105684" xr:uid="{E12C0A1B-B87F-4F1D-94C7-AF020047EFF9}"/>
    <hyperlink ref="G27" r:id="rId11" tooltip="DOI URL" display="https://doi.org/10.1021/acsestwater.2c00027" xr:uid="{03866F86-4492-471E-86BF-FDCFCEB1D695}"/>
    <hyperlink ref="G28" r:id="rId12" display="https://drive.google.com/file/d/1H07fhUBKaqLFTQl5DwYH-bxOHWctIdbJ/view" xr:uid="{97F75B07-B2AA-4466-99E5-C31EDBD62F2A}"/>
    <hyperlink ref="G30" r:id="rId13" display="https://doi.org/10.1016/j.scitotenv.2022.157933" xr:uid="{9770FFBD-D357-4E41-ABA8-58897964BCF4}"/>
    <hyperlink ref="G32" r:id="rId14" display="https://doi.org/10.1016/j.watres.2022.118173" xr:uid="{3BCDF81D-586F-4CB3-A2E0-B0C55C3AA1FD}"/>
    <hyperlink ref="G33" r:id="rId15" display="http://dx.doi.org/10.1016/j.scitotenv.2021.152672" xr:uid="{0648EE0B-703F-47CE-AA76-3A520D2DE8F1}"/>
    <hyperlink ref="G35" r:id="rId16" display="https://doi.org/10.1021/acsestwater.1c00307" xr:uid="{BBE7C5B9-D4CF-47EB-9813-003D8AC04330}"/>
    <hyperlink ref="G34" r:id="rId17" display="https://doi.org/10.1016/j.apgeochem.2021.105149" xr:uid="{AC498E68-82A7-4C8E-8755-3351A0C008E4}"/>
    <hyperlink ref="G39" r:id="rId18" display="https://doi.org/10.1016/j.scitotenv.2020.144691" xr:uid="{514EBFB9-F3E1-440C-9ABF-37039A23D2DA}"/>
    <hyperlink ref="G38" r:id="rId19" display="https://doi.org/10.1016/j.apgeochem.2020.104845" xr:uid="{1E15BD27-C6AC-4F00-8E68-B2548D64A00C}"/>
    <hyperlink ref="G42" r:id="rId20" display="https://doi.org/10.1021/acs.est.0c00192" xr:uid="{BA6FE58E-5054-4E55-8FAD-29A9F5E80464}"/>
    <hyperlink ref="G44" r:id="rId21" display="https://doi.org/10.1016/j.apgeochem.2020.104540" xr:uid="{62C12FCA-435B-4C61-99A0-7D1BA5D7903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597B8-46F7-400F-BF51-6DF3D8FC0634}">
  <dimension ref="A1:A134"/>
  <sheetViews>
    <sheetView workbookViewId="0">
      <selection activeCell="A16" sqref="A16"/>
    </sheetView>
  </sheetViews>
  <sheetFormatPr baseColWidth="10" defaultColWidth="8.83203125" defaultRowHeight="15" x14ac:dyDescent="0.2"/>
  <cols>
    <col min="1" max="1" width="255.6640625" bestFit="1" customWidth="1"/>
  </cols>
  <sheetData>
    <row r="1" spans="1:1" x14ac:dyDescent="0.2">
      <c r="A1" t="s">
        <v>493</v>
      </c>
    </row>
    <row r="2" spans="1:1" x14ac:dyDescent="0.2">
      <c r="A2" t="s">
        <v>494</v>
      </c>
    </row>
    <row r="3" spans="1:1" x14ac:dyDescent="0.2">
      <c r="A3" t="s">
        <v>495</v>
      </c>
    </row>
    <row r="4" spans="1:1" x14ac:dyDescent="0.2">
      <c r="A4" t="s">
        <v>496</v>
      </c>
    </row>
    <row r="5" spans="1:1" x14ac:dyDescent="0.2">
      <c r="A5" t="s">
        <v>497</v>
      </c>
    </row>
    <row r="6" spans="1:1" x14ac:dyDescent="0.2">
      <c r="A6" t="s">
        <v>498</v>
      </c>
    </row>
    <row r="7" spans="1:1" x14ac:dyDescent="0.2">
      <c r="A7" t="s">
        <v>499</v>
      </c>
    </row>
    <row r="8" spans="1:1" x14ac:dyDescent="0.2">
      <c r="A8" t="s">
        <v>500</v>
      </c>
    </row>
    <row r="9" spans="1:1" x14ac:dyDescent="0.2">
      <c r="A9" t="s">
        <v>501</v>
      </c>
    </row>
    <row r="10" spans="1:1" x14ac:dyDescent="0.2">
      <c r="A10" t="s">
        <v>502</v>
      </c>
    </row>
    <row r="11" spans="1:1" x14ac:dyDescent="0.2">
      <c r="A11" t="s">
        <v>503</v>
      </c>
    </row>
    <row r="12" spans="1:1" x14ac:dyDescent="0.2">
      <c r="A12" t="s">
        <v>504</v>
      </c>
    </row>
    <row r="13" spans="1:1" x14ac:dyDescent="0.2">
      <c r="A13" t="s">
        <v>505</v>
      </c>
    </row>
    <row r="14" spans="1:1" x14ac:dyDescent="0.2">
      <c r="A14" t="s">
        <v>506</v>
      </c>
    </row>
    <row r="15" spans="1:1" x14ac:dyDescent="0.2">
      <c r="A15" t="s">
        <v>507</v>
      </c>
    </row>
    <row r="16" spans="1:1" x14ac:dyDescent="0.2">
      <c r="A16" t="s">
        <v>508</v>
      </c>
    </row>
    <row r="17" spans="1:1" x14ac:dyDescent="0.2">
      <c r="A17" t="s">
        <v>509</v>
      </c>
    </row>
    <row r="18" spans="1:1" x14ac:dyDescent="0.2">
      <c r="A18" t="s">
        <v>510</v>
      </c>
    </row>
    <row r="19" spans="1:1" x14ac:dyDescent="0.2">
      <c r="A19" t="s">
        <v>511</v>
      </c>
    </row>
    <row r="20" spans="1:1" x14ac:dyDescent="0.2">
      <c r="A20" t="s">
        <v>512</v>
      </c>
    </row>
    <row r="21" spans="1:1" x14ac:dyDescent="0.2">
      <c r="A21" t="s">
        <v>513</v>
      </c>
    </row>
    <row r="22" spans="1:1" x14ac:dyDescent="0.2">
      <c r="A22" t="s">
        <v>514</v>
      </c>
    </row>
    <row r="23" spans="1:1" x14ac:dyDescent="0.2">
      <c r="A23" t="s">
        <v>515</v>
      </c>
    </row>
    <row r="24" spans="1:1" x14ac:dyDescent="0.2">
      <c r="A24" t="s">
        <v>516</v>
      </c>
    </row>
    <row r="25" spans="1:1" x14ac:dyDescent="0.2">
      <c r="A25" t="s">
        <v>517</v>
      </c>
    </row>
    <row r="26" spans="1:1" x14ac:dyDescent="0.2">
      <c r="A26" t="s">
        <v>518</v>
      </c>
    </row>
    <row r="27" spans="1:1" x14ac:dyDescent="0.2">
      <c r="A27" t="s">
        <v>519</v>
      </c>
    </row>
    <row r="28" spans="1:1" x14ac:dyDescent="0.2">
      <c r="A28" t="s">
        <v>520</v>
      </c>
    </row>
    <row r="29" spans="1:1" x14ac:dyDescent="0.2">
      <c r="A29" t="s">
        <v>521</v>
      </c>
    </row>
    <row r="30" spans="1:1" x14ac:dyDescent="0.2">
      <c r="A30" t="s">
        <v>522</v>
      </c>
    </row>
    <row r="31" spans="1:1" x14ac:dyDescent="0.2">
      <c r="A31" t="s">
        <v>523</v>
      </c>
    </row>
    <row r="32" spans="1:1" x14ac:dyDescent="0.2">
      <c r="A32" t="s">
        <v>524</v>
      </c>
    </row>
    <row r="33" spans="1:1" x14ac:dyDescent="0.2">
      <c r="A33" t="s">
        <v>525</v>
      </c>
    </row>
    <row r="34" spans="1:1" x14ac:dyDescent="0.2">
      <c r="A34" t="s">
        <v>526</v>
      </c>
    </row>
    <row r="35" spans="1:1" x14ac:dyDescent="0.2">
      <c r="A35" t="s">
        <v>527</v>
      </c>
    </row>
    <row r="36" spans="1:1" x14ac:dyDescent="0.2">
      <c r="A36" t="s">
        <v>528</v>
      </c>
    </row>
    <row r="37" spans="1:1" x14ac:dyDescent="0.2">
      <c r="A37" t="s">
        <v>529</v>
      </c>
    </row>
    <row r="38" spans="1:1" x14ac:dyDescent="0.2">
      <c r="A38" t="s">
        <v>530</v>
      </c>
    </row>
    <row r="39" spans="1:1" x14ac:dyDescent="0.2">
      <c r="A39" t="s">
        <v>531</v>
      </c>
    </row>
    <row r="40" spans="1:1" x14ac:dyDescent="0.2">
      <c r="A40" t="s">
        <v>532</v>
      </c>
    </row>
    <row r="41" spans="1:1" x14ac:dyDescent="0.2">
      <c r="A41" t="s">
        <v>533</v>
      </c>
    </row>
    <row r="42" spans="1:1" x14ac:dyDescent="0.2">
      <c r="A42" t="s">
        <v>534</v>
      </c>
    </row>
    <row r="43" spans="1:1" x14ac:dyDescent="0.2">
      <c r="A43" t="s">
        <v>535</v>
      </c>
    </row>
    <row r="44" spans="1:1" x14ac:dyDescent="0.2">
      <c r="A44" t="s">
        <v>536</v>
      </c>
    </row>
    <row r="45" spans="1:1" x14ac:dyDescent="0.2">
      <c r="A45" t="s">
        <v>537</v>
      </c>
    </row>
    <row r="46" spans="1:1" x14ac:dyDescent="0.2">
      <c r="A46" t="s">
        <v>538</v>
      </c>
    </row>
    <row r="47" spans="1:1" x14ac:dyDescent="0.2">
      <c r="A47" t="s">
        <v>539</v>
      </c>
    </row>
    <row r="48" spans="1:1" x14ac:dyDescent="0.2">
      <c r="A48" t="s">
        <v>540</v>
      </c>
    </row>
    <row r="49" spans="1:1" x14ac:dyDescent="0.2">
      <c r="A49" t="s">
        <v>541</v>
      </c>
    </row>
    <row r="50" spans="1:1" x14ac:dyDescent="0.2">
      <c r="A50" t="s">
        <v>542</v>
      </c>
    </row>
    <row r="51" spans="1:1" x14ac:dyDescent="0.2">
      <c r="A51" t="s">
        <v>543</v>
      </c>
    </row>
    <row r="52" spans="1:1" x14ac:dyDescent="0.2">
      <c r="A52" t="s">
        <v>544</v>
      </c>
    </row>
    <row r="53" spans="1:1" x14ac:dyDescent="0.2">
      <c r="A53" t="s">
        <v>545</v>
      </c>
    </row>
    <row r="54" spans="1:1" x14ac:dyDescent="0.2">
      <c r="A54" t="s">
        <v>546</v>
      </c>
    </row>
    <row r="55" spans="1:1" x14ac:dyDescent="0.2">
      <c r="A55" t="s">
        <v>547</v>
      </c>
    </row>
    <row r="56" spans="1:1" x14ac:dyDescent="0.2">
      <c r="A56" t="s">
        <v>548</v>
      </c>
    </row>
    <row r="57" spans="1:1" x14ac:dyDescent="0.2">
      <c r="A57" t="s">
        <v>549</v>
      </c>
    </row>
    <row r="58" spans="1:1" x14ac:dyDescent="0.2">
      <c r="A58" t="s">
        <v>550</v>
      </c>
    </row>
    <row r="59" spans="1:1" x14ac:dyDescent="0.2">
      <c r="A59" t="s">
        <v>551</v>
      </c>
    </row>
    <row r="60" spans="1:1" x14ac:dyDescent="0.2">
      <c r="A60" t="s">
        <v>552</v>
      </c>
    </row>
    <row r="61" spans="1:1" x14ac:dyDescent="0.2">
      <c r="A61" t="s">
        <v>553</v>
      </c>
    </row>
    <row r="62" spans="1:1" x14ac:dyDescent="0.2">
      <c r="A62" t="s">
        <v>554</v>
      </c>
    </row>
    <row r="63" spans="1:1" x14ac:dyDescent="0.2">
      <c r="A63" t="s">
        <v>555</v>
      </c>
    </row>
    <row r="64" spans="1:1" x14ac:dyDescent="0.2">
      <c r="A64" t="s">
        <v>556</v>
      </c>
    </row>
    <row r="65" spans="1:1" x14ac:dyDescent="0.2">
      <c r="A65" t="s">
        <v>557</v>
      </c>
    </row>
    <row r="66" spans="1:1" x14ac:dyDescent="0.2">
      <c r="A66" t="s">
        <v>558</v>
      </c>
    </row>
    <row r="67" spans="1:1" x14ac:dyDescent="0.2">
      <c r="A67" t="s">
        <v>559</v>
      </c>
    </row>
    <row r="68" spans="1:1" x14ac:dyDescent="0.2">
      <c r="A68" t="s">
        <v>560</v>
      </c>
    </row>
    <row r="69" spans="1:1" x14ac:dyDescent="0.2">
      <c r="A69" t="s">
        <v>561</v>
      </c>
    </row>
    <row r="70" spans="1:1" x14ac:dyDescent="0.2">
      <c r="A70" t="s">
        <v>562</v>
      </c>
    </row>
    <row r="71" spans="1:1" x14ac:dyDescent="0.2">
      <c r="A71" t="s">
        <v>563</v>
      </c>
    </row>
    <row r="72" spans="1:1" x14ac:dyDescent="0.2">
      <c r="A72" t="s">
        <v>564</v>
      </c>
    </row>
    <row r="73" spans="1:1" x14ac:dyDescent="0.2">
      <c r="A73" t="s">
        <v>565</v>
      </c>
    </row>
    <row r="74" spans="1:1" x14ac:dyDescent="0.2">
      <c r="A74" t="s">
        <v>566</v>
      </c>
    </row>
    <row r="75" spans="1:1" x14ac:dyDescent="0.2">
      <c r="A75" t="s">
        <v>567</v>
      </c>
    </row>
    <row r="76" spans="1:1" x14ac:dyDescent="0.2">
      <c r="A76" t="s">
        <v>568</v>
      </c>
    </row>
    <row r="77" spans="1:1" x14ac:dyDescent="0.2">
      <c r="A77" t="s">
        <v>569</v>
      </c>
    </row>
    <row r="78" spans="1:1" x14ac:dyDescent="0.2">
      <c r="A78" t="s">
        <v>570</v>
      </c>
    </row>
    <row r="79" spans="1:1" x14ac:dyDescent="0.2">
      <c r="A79" t="s">
        <v>571</v>
      </c>
    </row>
    <row r="80" spans="1:1" x14ac:dyDescent="0.2">
      <c r="A80" t="s">
        <v>572</v>
      </c>
    </row>
    <row r="81" spans="1:1" x14ac:dyDescent="0.2">
      <c r="A81" t="s">
        <v>573</v>
      </c>
    </row>
    <row r="82" spans="1:1" x14ac:dyDescent="0.2">
      <c r="A82" t="s">
        <v>574</v>
      </c>
    </row>
    <row r="83" spans="1:1" x14ac:dyDescent="0.2">
      <c r="A83" t="s">
        <v>575</v>
      </c>
    </row>
    <row r="84" spans="1:1" x14ac:dyDescent="0.2">
      <c r="A84" t="s">
        <v>576</v>
      </c>
    </row>
    <row r="85" spans="1:1" x14ac:dyDescent="0.2">
      <c r="A85" t="s">
        <v>577</v>
      </c>
    </row>
    <row r="86" spans="1:1" x14ac:dyDescent="0.2">
      <c r="A86" t="s">
        <v>578</v>
      </c>
    </row>
    <row r="87" spans="1:1" x14ac:dyDescent="0.2">
      <c r="A87" t="s">
        <v>579</v>
      </c>
    </row>
    <row r="88" spans="1:1" x14ac:dyDescent="0.2">
      <c r="A88" t="s">
        <v>580</v>
      </c>
    </row>
    <row r="89" spans="1:1" x14ac:dyDescent="0.2">
      <c r="A89" t="s">
        <v>581</v>
      </c>
    </row>
    <row r="90" spans="1:1" x14ac:dyDescent="0.2">
      <c r="A90" t="s">
        <v>582</v>
      </c>
    </row>
    <row r="91" spans="1:1" x14ac:dyDescent="0.2">
      <c r="A91" t="s">
        <v>583</v>
      </c>
    </row>
    <row r="92" spans="1:1" x14ac:dyDescent="0.2">
      <c r="A92" t="s">
        <v>584</v>
      </c>
    </row>
    <row r="93" spans="1:1" x14ac:dyDescent="0.2">
      <c r="A93" t="s">
        <v>585</v>
      </c>
    </row>
    <row r="94" spans="1:1" x14ac:dyDescent="0.2">
      <c r="A94" t="s">
        <v>586</v>
      </c>
    </row>
    <row r="95" spans="1:1" x14ac:dyDescent="0.2">
      <c r="A95" t="s">
        <v>587</v>
      </c>
    </row>
    <row r="96" spans="1:1" x14ac:dyDescent="0.2">
      <c r="A96" t="s">
        <v>588</v>
      </c>
    </row>
    <row r="97" spans="1:1" x14ac:dyDescent="0.2">
      <c r="A97" t="s">
        <v>589</v>
      </c>
    </row>
    <row r="98" spans="1:1" x14ac:dyDescent="0.2">
      <c r="A98" t="s">
        <v>590</v>
      </c>
    </row>
    <row r="99" spans="1:1" x14ac:dyDescent="0.2">
      <c r="A99" t="s">
        <v>591</v>
      </c>
    </row>
    <row r="100" spans="1:1" x14ac:dyDescent="0.2">
      <c r="A100" t="s">
        <v>592</v>
      </c>
    </row>
    <row r="101" spans="1:1" x14ac:dyDescent="0.2">
      <c r="A101" t="s">
        <v>593</v>
      </c>
    </row>
    <row r="102" spans="1:1" x14ac:dyDescent="0.2">
      <c r="A102" t="s">
        <v>594</v>
      </c>
    </row>
    <row r="103" spans="1:1" x14ac:dyDescent="0.2">
      <c r="A103" t="s">
        <v>595</v>
      </c>
    </row>
    <row r="104" spans="1:1" x14ac:dyDescent="0.2">
      <c r="A104" t="s">
        <v>596</v>
      </c>
    </row>
    <row r="105" spans="1:1" x14ac:dyDescent="0.2">
      <c r="A105" t="s">
        <v>597</v>
      </c>
    </row>
    <row r="106" spans="1:1" x14ac:dyDescent="0.2">
      <c r="A106" t="s">
        <v>598</v>
      </c>
    </row>
    <row r="107" spans="1:1" x14ac:dyDescent="0.2">
      <c r="A107" t="s">
        <v>599</v>
      </c>
    </row>
    <row r="108" spans="1:1" x14ac:dyDescent="0.2">
      <c r="A108" t="s">
        <v>600</v>
      </c>
    </row>
    <row r="109" spans="1:1" x14ac:dyDescent="0.2">
      <c r="A109" t="s">
        <v>601</v>
      </c>
    </row>
    <row r="110" spans="1:1" x14ac:dyDescent="0.2">
      <c r="A110" t="s">
        <v>602</v>
      </c>
    </row>
    <row r="111" spans="1:1" x14ac:dyDescent="0.2">
      <c r="A111" s="1" t="s">
        <v>603</v>
      </c>
    </row>
    <row r="112" spans="1:1" x14ac:dyDescent="0.2">
      <c r="A112" s="1" t="s">
        <v>604</v>
      </c>
    </row>
    <row r="113" spans="1:1" x14ac:dyDescent="0.2">
      <c r="A113" s="1" t="s">
        <v>605</v>
      </c>
    </row>
    <row r="114" spans="1:1" x14ac:dyDescent="0.2">
      <c r="A114" s="1" t="s">
        <v>606</v>
      </c>
    </row>
    <row r="115" spans="1:1" x14ac:dyDescent="0.2">
      <c r="A115" s="1" t="s">
        <v>607</v>
      </c>
    </row>
    <row r="116" spans="1:1" x14ac:dyDescent="0.2">
      <c r="A116" s="1" t="s">
        <v>608</v>
      </c>
    </row>
    <row r="117" spans="1:1" x14ac:dyDescent="0.2">
      <c r="A117" s="1" t="s">
        <v>609</v>
      </c>
    </row>
    <row r="118" spans="1:1" x14ac:dyDescent="0.2">
      <c r="A118" s="1" t="s">
        <v>610</v>
      </c>
    </row>
    <row r="119" spans="1:1" x14ac:dyDescent="0.2">
      <c r="A119" s="1" t="s">
        <v>611</v>
      </c>
    </row>
    <row r="120" spans="1:1" x14ac:dyDescent="0.2">
      <c r="A120" t="s">
        <v>612</v>
      </c>
    </row>
    <row r="121" spans="1:1" x14ac:dyDescent="0.2">
      <c r="A121" t="s">
        <v>613</v>
      </c>
    </row>
    <row r="122" spans="1:1" x14ac:dyDescent="0.2">
      <c r="A122" t="s">
        <v>614</v>
      </c>
    </row>
    <row r="123" spans="1:1" x14ac:dyDescent="0.2">
      <c r="A123" t="s">
        <v>615</v>
      </c>
    </row>
    <row r="124" spans="1:1" x14ac:dyDescent="0.2">
      <c r="A124" t="s">
        <v>616</v>
      </c>
    </row>
    <row r="125" spans="1:1" x14ac:dyDescent="0.2">
      <c r="A125" t="s">
        <v>617</v>
      </c>
    </row>
    <row r="126" spans="1:1" x14ac:dyDescent="0.2">
      <c r="A126" t="s">
        <v>618</v>
      </c>
    </row>
    <row r="127" spans="1:1" x14ac:dyDescent="0.2">
      <c r="A127" t="s">
        <v>619</v>
      </c>
    </row>
    <row r="128" spans="1:1" x14ac:dyDescent="0.2">
      <c r="A128" t="s">
        <v>620</v>
      </c>
    </row>
    <row r="129" spans="1:1" x14ac:dyDescent="0.2">
      <c r="A129" t="s">
        <v>621</v>
      </c>
    </row>
    <row r="130" spans="1:1" x14ac:dyDescent="0.2">
      <c r="A130" t="s">
        <v>622</v>
      </c>
    </row>
    <row r="131" spans="1:1" x14ac:dyDescent="0.2">
      <c r="A131" t="s">
        <v>623</v>
      </c>
    </row>
    <row r="132" spans="1:1" x14ac:dyDescent="0.2">
      <c r="A132" t="s">
        <v>624</v>
      </c>
    </row>
    <row r="133" spans="1:1" x14ac:dyDescent="0.2">
      <c r="A133" t="s">
        <v>625</v>
      </c>
    </row>
    <row r="134" spans="1:1" x14ac:dyDescent="0.2">
      <c r="A134" t="s">
        <v>626</v>
      </c>
    </row>
  </sheetData>
  <sortState xmlns:xlrd2="http://schemas.microsoft.com/office/spreadsheetml/2017/richdata2" ref="A110:A119">
    <sortCondition ref="A110:A119"/>
  </sortState>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5"/>
  <sheetViews>
    <sheetView workbookViewId="0">
      <pane xSplit="3" ySplit="1" topLeftCell="G97" activePane="bottomRight" state="frozen"/>
      <selection pane="topRight" activeCell="B1" sqref="B1"/>
      <selection pane="bottomLeft" activeCell="A2" sqref="A2"/>
      <selection pane="bottomRight" activeCell="G1" sqref="G1:G1048576"/>
    </sheetView>
  </sheetViews>
  <sheetFormatPr baseColWidth="10" defaultColWidth="9.1640625" defaultRowHeight="15" x14ac:dyDescent="0.2"/>
  <cols>
    <col min="1" max="1" width="9.1640625" style="5"/>
    <col min="2" max="2" width="99.83203125" style="1" bestFit="1" customWidth="1"/>
    <col min="3" max="3" width="7.83203125" style="1" bestFit="1" customWidth="1"/>
    <col min="4" max="4" width="200.6640625" style="1" customWidth="1"/>
    <col min="5" max="5" width="255.6640625" style="1" bestFit="1" customWidth="1"/>
    <col min="6" max="6" width="113.1640625" style="1" customWidth="1"/>
    <col min="7" max="7" width="255.6640625" style="1" bestFit="1" customWidth="1"/>
    <col min="8" max="16384" width="9.1640625" style="1"/>
  </cols>
  <sheetData>
    <row r="1" spans="1:7" x14ac:dyDescent="0.2">
      <c r="A1" s="5" t="s">
        <v>223</v>
      </c>
      <c r="B1" s="1" t="s">
        <v>25</v>
      </c>
      <c r="C1" s="1" t="s">
        <v>26</v>
      </c>
      <c r="D1" s="1" t="s">
        <v>27</v>
      </c>
      <c r="E1" s="1" t="s">
        <v>28</v>
      </c>
      <c r="F1" s="1" t="s">
        <v>29</v>
      </c>
      <c r="G1" s="1" t="s">
        <v>30</v>
      </c>
    </row>
    <row r="2" spans="1:7" x14ac:dyDescent="0.2">
      <c r="A2" s="5">
        <f t="shared" ref="A2:A18" si="0">1+A3</f>
        <v>134</v>
      </c>
      <c r="B2" s="1" t="s">
        <v>277</v>
      </c>
      <c r="C2" s="1">
        <v>2026</v>
      </c>
      <c r="D2" s="1" t="s">
        <v>278</v>
      </c>
      <c r="E2" s="1" t="s">
        <v>279</v>
      </c>
      <c r="G2" s="1" t="str">
        <f>CONCATENATE(B2," (",C2,") ",D2,": ",E2," (",F2,")")</f>
        <v>Knierim, K.J., Stackelberg, P.E., McCleskey, R.B., Cravotta, C.A. III,  Belitz, K., Killian, C.D. (2026) Random forest predictions of total dissolved solids in groundwater in three dimensions across the continental United States: Water Resources Research, submitted ()</v>
      </c>
    </row>
    <row r="3" spans="1:7" x14ac:dyDescent="0.2">
      <c r="A3" s="5">
        <f>1+A4</f>
        <v>133</v>
      </c>
      <c r="B3" s="1" t="s">
        <v>280</v>
      </c>
      <c r="C3" s="1">
        <v>2026</v>
      </c>
      <c r="D3" s="1" t="s">
        <v>281</v>
      </c>
      <c r="E3" s="1" t="s">
        <v>282</v>
      </c>
      <c r="G3" s="1" t="str">
        <f t="shared" ref="G3:G66" si="1">CONCATENATE(B3," (",C3,") ",D3,": ",E3," (",F3,")")</f>
        <v>Stackelberg, P.E., Knierim, K.J., Belitz, K., Cravotta, C.A. III, McCleskey, R.B., Killian, C.D. (2026) Predicting groundwater hydrochemical facies in three dimensions across the conterminous United States with random forest classification: Groundwater, submitted ()</v>
      </c>
    </row>
    <row r="4" spans="1:7" x14ac:dyDescent="0.2">
      <c r="A4" s="5">
        <f t="shared" si="0"/>
        <v>132</v>
      </c>
      <c r="B4" s="1" t="s">
        <v>283</v>
      </c>
      <c r="C4" s="1">
        <v>2026</v>
      </c>
      <c r="D4" s="1" t="s">
        <v>284</v>
      </c>
      <c r="E4" s="1" t="s">
        <v>285</v>
      </c>
      <c r="G4" s="1" t="str">
        <f t="shared" si="1"/>
        <v>Boothe-Lordon, T.J.Cravotta, C.A. III, Tasker, T.L., Stewart, B.W., Capo, R.C., Hedin, B. (2026) Geochemical modeling of rare earth element adsorption onto aluminum hydroxide and hydroxysulfate under variable sulfate conditions: Chemosphere, submitted ()</v>
      </c>
    </row>
    <row r="5" spans="1:7" x14ac:dyDescent="0.2">
      <c r="A5" s="5">
        <f t="shared" si="0"/>
        <v>131</v>
      </c>
      <c r="B5" s="1" t="s">
        <v>286</v>
      </c>
      <c r="C5" s="1">
        <v>2026</v>
      </c>
      <c r="D5" s="1" t="s">
        <v>264</v>
      </c>
      <c r="E5" s="1" t="s">
        <v>285</v>
      </c>
      <c r="F5" s="3" t="s">
        <v>287</v>
      </c>
      <c r="G5" s="1" t="str">
        <f t="shared" si="1"/>
        <v>Tasker, T.L., Cravotta, C.A. III, Roman, B. (2026) Sorption of rare-earth elements with hydrous ferric oxide and hydrous aluminum oxide--Roles of sulfate and pH: Chemosphere, submitted (http://dx.doi.org/10.2139/ssrn.6208107)</v>
      </c>
    </row>
    <row r="6" spans="1:7" x14ac:dyDescent="0.2">
      <c r="A6" s="5">
        <f t="shared" si="0"/>
        <v>130</v>
      </c>
      <c r="B6" s="1" t="s">
        <v>288</v>
      </c>
      <c r="C6" s="1">
        <v>2026</v>
      </c>
      <c r="D6" s="1" t="s">
        <v>236</v>
      </c>
      <c r="E6" s="1" t="s">
        <v>289</v>
      </c>
      <c r="F6" s="3" t="s">
        <v>290</v>
      </c>
      <c r="G6" s="1" t="str">
        <f t="shared" si="1"/>
        <v>Roman, B., Cravotta, C.A. III, Spellman Jr., C.J., Strosnider, W.H.J., Goodwill, J.E., Tasker, T.L. (2026) Enhanced phosphorus removal via cotreatment of mine drainage during primary municipal wastewater clarification: Ecological Engineering 98 (2) e70298 (https://doi.org/10.1002/wer.70298)</v>
      </c>
    </row>
    <row r="7" spans="1:7" x14ac:dyDescent="0.2">
      <c r="A7" s="5">
        <f t="shared" si="0"/>
        <v>129</v>
      </c>
      <c r="B7" s="1" t="s">
        <v>291</v>
      </c>
      <c r="C7" s="1">
        <v>2026</v>
      </c>
      <c r="D7" s="1" t="s">
        <v>274</v>
      </c>
      <c r="E7" s="1" t="s">
        <v>292</v>
      </c>
      <c r="F7" s="6" t="s">
        <v>275</v>
      </c>
      <c r="G7" s="1" t="str">
        <f t="shared" si="1"/>
        <v>McCleskey, B.R., Cravotta, C.A. III, Knierim, K., Stackelberg, P.E., Killian, C. (2026) Groundwater salinity:  Applying the specific conductance and water type proxy: Groundwater 64 (2) 150-160 (https://doi.org/10.1111/gwat.70038)</v>
      </c>
    </row>
    <row r="8" spans="1:7" x14ac:dyDescent="0.2">
      <c r="A8" s="5">
        <f t="shared" si="0"/>
        <v>128</v>
      </c>
      <c r="B8" s="1" t="s">
        <v>293</v>
      </c>
      <c r="C8" s="1">
        <v>2025</v>
      </c>
      <c r="D8" s="1" t="s">
        <v>262</v>
      </c>
      <c r="E8" s="1" t="s">
        <v>263</v>
      </c>
      <c r="F8" s="6" t="s">
        <v>294</v>
      </c>
      <c r="G8" s="1" t="str">
        <f t="shared" si="1"/>
        <v>Hayes, B., Zhu, W., Dawes, R.J., Cravotta, C.A., Hughes, R., Moyer, G., Tasker, T., Shallenberger, J., Dawes, J. (2025) Nutrient reductions as co-benefit of acid mine drainage (AMD) treatment: Quantifying nutrient load reductions for restored stream segments in AMD-impacted watersheds: Chesapeake Bay Program Scientific and Technical Advisory Committee (STAC) Publication Number 25-002, 44 p.  (https://www.chesapeake.org/stac/wp-content/uploads/2025/04/STAC-Technical-Review_Acid-Mine-Drainage_25-002.pdf )</v>
      </c>
    </row>
    <row r="9" spans="1:7" x14ac:dyDescent="0.2">
      <c r="A9" s="5">
        <f t="shared" si="0"/>
        <v>127</v>
      </c>
      <c r="B9" s="1" t="s">
        <v>295</v>
      </c>
      <c r="C9" s="1">
        <v>2025</v>
      </c>
      <c r="D9" s="1" t="s">
        <v>261</v>
      </c>
      <c r="E9" s="1" t="s">
        <v>296</v>
      </c>
      <c r="F9" s="6" t="s">
        <v>297</v>
      </c>
      <c r="G9" s="1" t="str">
        <f t="shared" si="1"/>
        <v>McCleskey, R.B., Cravotta, C.A. III, Miller, M.P., Chapin, T.W., Tillman, F., Keith, G.L. (2025) Specific conductance and water type as a proxy model for salinity and total dissolved solids measurements in the Upper Colorado River Basin: Applied Geochemistry 184, 106358. (https://doi.org/10.1016/j.apgeochem.2025.106358 )</v>
      </c>
    </row>
    <row r="10" spans="1:7" ht="17" x14ac:dyDescent="0.25">
      <c r="A10" s="5">
        <f t="shared" si="0"/>
        <v>126</v>
      </c>
      <c r="B10" s="1" t="s">
        <v>298</v>
      </c>
      <c r="C10" s="1">
        <v>2025</v>
      </c>
      <c r="D10" s="1" t="s">
        <v>276</v>
      </c>
      <c r="E10" s="1" t="s">
        <v>299</v>
      </c>
      <c r="F10" s="6" t="s">
        <v>300</v>
      </c>
      <c r="G10" s="1" t="str">
        <f t="shared" si="1"/>
        <v>Vesper, D.J., Cravotta, C.A. III, Lei, L., Wallace, M., Schaffer, C.R. (2025) Determination of CO2 and DIC in high-CO2 waters:  An application for the analysis of coal mine waters: Applied Geochemistry 183, 106336. (https://doi.org/10.1016/j.apgeochem.2025.106336 )</v>
      </c>
    </row>
    <row r="11" spans="1:7" x14ac:dyDescent="0.2">
      <c r="A11" s="5">
        <f t="shared" si="0"/>
        <v>125</v>
      </c>
      <c r="B11" s="1" t="s">
        <v>301</v>
      </c>
      <c r="C11" s="1">
        <v>2025</v>
      </c>
      <c r="D11" s="1" t="s">
        <v>267</v>
      </c>
      <c r="E11" s="1" t="s">
        <v>270</v>
      </c>
      <c r="F11" s="6" t="s">
        <v>273</v>
      </c>
      <c r="G11" s="1" t="str">
        <f t="shared" si="1"/>
        <v>Araújo, J.F., Cravotta, C.A. III, Fonseca, R., da Silva, R.P., Prats, A.S., Valente, T. (2025) Acid mine drainage remediation with waste products: Laboratory findings and field model applications: Proceedings 2025 International Mine Water Association Conference, Braga, Portugal, 70-76. (https://www.imwa.info/docs/imwa_2025/IMWA2025_Araujo_70.pdf )</v>
      </c>
    </row>
    <row r="12" spans="1:7" x14ac:dyDescent="0.2">
      <c r="A12" s="5">
        <f t="shared" si="0"/>
        <v>124</v>
      </c>
      <c r="B12" s="1" t="s">
        <v>302</v>
      </c>
      <c r="C12" s="1">
        <v>2025</v>
      </c>
      <c r="D12" s="1" t="s">
        <v>266</v>
      </c>
      <c r="E12" s="1" t="s">
        <v>269</v>
      </c>
      <c r="F12" s="6" t="s">
        <v>272</v>
      </c>
      <c r="G12" s="1" t="str">
        <f t="shared" si="1"/>
        <v>Barroso, A.R., Cravotta, C.A. III, Gomes, P., Horta Ribeiro, I.M., Marinho Reis, A.P., Valente, T.M. (2025) Improved acidity estimation by integrating comprehensive dissolved metal(oid)s data: A geochemical modeling case study of highly mineralized mine waters: Proceedings 2025 International Mine Water Association Conference, Braga, Portugal, 97-101. (https://www.imwa.info/docs/imwa_2025/IMWA2025_Barroso_97.pdf )</v>
      </c>
    </row>
    <row r="13" spans="1:7" x14ac:dyDescent="0.2">
      <c r="A13" s="5">
        <f t="shared" si="0"/>
        <v>123</v>
      </c>
      <c r="B13" t="s">
        <v>55</v>
      </c>
      <c r="C13" s="1">
        <v>2025</v>
      </c>
      <c r="D13" s="1" t="s">
        <v>265</v>
      </c>
      <c r="E13" s="1" t="s">
        <v>268</v>
      </c>
      <c r="F13" s="6" t="s">
        <v>271</v>
      </c>
      <c r="G13" s="1" t="str">
        <f t="shared" si="1"/>
        <v>Cravotta, C.A. III (2025) Water-quality modeling tools to evaluate attenuation of dissolved constituents by precipitation and adsorption reactions during treatment of acid mine drainage: Proceedings 2025 International Mine Water Association Conference, Braga, Portugal, 208-213.  (https://www.imwa.info/docs/imwa_2025/IMWA2025_CravottaIII_208.pdf )</v>
      </c>
    </row>
    <row r="14" spans="1:7" x14ac:dyDescent="0.2">
      <c r="A14" s="5">
        <f t="shared" si="0"/>
        <v>122</v>
      </c>
      <c r="B14" t="s">
        <v>303</v>
      </c>
      <c r="C14" s="1">
        <v>2024</v>
      </c>
      <c r="D14" t="s">
        <v>259</v>
      </c>
      <c r="E14" t="s">
        <v>304</v>
      </c>
      <c r="F14" s="3" t="s">
        <v>260</v>
      </c>
      <c r="G14" s="1" t="str">
        <f t="shared" si="1"/>
        <v>McDevitt, B., Cravotta, C.A. III, McAleer, R.J., Jackson, J.C., Jubb, A.M., Jolly, G.D., Hedin, B.C., Warner, N.R. (2024) Evaluation of coal mine drainage and associated precipitates for radium and rare earth element concentrations: International Journal of Coal Geology 28, 104547. (https://doi.org/10.1016/j.coal.2024.104547)</v>
      </c>
    </row>
    <row r="15" spans="1:7" x14ac:dyDescent="0.2">
      <c r="A15" s="5">
        <f t="shared" si="0"/>
        <v>121</v>
      </c>
      <c r="B15" t="s">
        <v>55</v>
      </c>
      <c r="C15" s="1">
        <v>2024</v>
      </c>
      <c r="D15" t="s">
        <v>255</v>
      </c>
      <c r="E15" t="s">
        <v>305</v>
      </c>
      <c r="F15" s="3" t="s">
        <v>252</v>
      </c>
      <c r="G15" s="1" t="str">
        <f t="shared" si="1"/>
        <v>Cravotta, C.A. III (2024) Geochemical modeling to understand and mitigate aquatic contamination by abandoned mine drainage: Proceedings of the West Virginia Mine Drainage Task Force Symposium &amp; 15th International Mine Water Association Congress, Morgantown, WV, USA, 91-97. (https://www.imwa.info/docs/imwa_2024/IMWA2024_CravottaIII_91.pdf)</v>
      </c>
    </row>
    <row r="16" spans="1:7" x14ac:dyDescent="0.2">
      <c r="A16" s="5">
        <f t="shared" si="0"/>
        <v>120</v>
      </c>
      <c r="B16" t="s">
        <v>247</v>
      </c>
      <c r="C16" s="1">
        <v>2024</v>
      </c>
      <c r="D16" t="s">
        <v>256</v>
      </c>
      <c r="E16" t="s">
        <v>306</v>
      </c>
      <c r="F16" s="3" t="s">
        <v>251</v>
      </c>
      <c r="G16" s="1" t="str">
        <f t="shared" si="1"/>
        <v>Cravotta, C.A. III, Tasker, T.L., Hedin, B.C. (2024) Laboratory and field observations inform geochemical models of treatment strategies to recover rare-earth elements from acid mine drainage: Proceedings of the West Virginia Mine Drainage Task Force Symposium &amp; 15th International Mine Water Association Congress, Morgantown, WV, USA, 98-104.  (https://www.imwa.info/docs/imwa_2024/IMWA2024_CravottaIII_98.pdf)</v>
      </c>
    </row>
    <row r="17" spans="1:7" x14ac:dyDescent="0.2">
      <c r="A17" s="5">
        <f t="shared" si="0"/>
        <v>119</v>
      </c>
      <c r="B17" t="s">
        <v>248</v>
      </c>
      <c r="C17" s="1">
        <v>2024</v>
      </c>
      <c r="D17" t="s">
        <v>257</v>
      </c>
      <c r="E17" t="s">
        <v>307</v>
      </c>
      <c r="F17" s="3" t="s">
        <v>253</v>
      </c>
      <c r="G17" s="1" t="str">
        <f t="shared" si="1"/>
        <v>Schaffer, C.R., Cravotta, C.A. III, Capo, R.C., Stewart, B.W., Hedin, B.C., Vesper, D.J. (2024) Coal mine drainage contaminant trend prediction in an Appalachian basin, USA: Proceedings of the West Virginia Mine Drainage Task Force Symposium &amp; 15th International Mine Water Association Congress, Morgantown, WV, USA, 555-561.  (https://www.imwa.info/docs/imwa_2024/IMWA2024_Schaffer_555.pdf)</v>
      </c>
    </row>
    <row r="18" spans="1:7" x14ac:dyDescent="0.2">
      <c r="A18" s="5">
        <f t="shared" si="0"/>
        <v>118</v>
      </c>
      <c r="B18" t="s">
        <v>249</v>
      </c>
      <c r="C18" s="1">
        <v>2024</v>
      </c>
      <c r="D18" t="s">
        <v>258</v>
      </c>
      <c r="E18" t="s">
        <v>308</v>
      </c>
      <c r="F18" s="3" t="s">
        <v>250</v>
      </c>
      <c r="G18" s="1" t="str">
        <f t="shared" si="1"/>
        <v>Vesper, D.J, Cravotta, C.A. III, Fredrick, K., Herman, E.K., Lei, L., Riddell, J.L., Bell, M.L., Rockwell, L.J., Schaffer, C.R. (2024) The release of dissolved inorganic carbon (DIC) and CO₂ from coal mine drainages: Proceedings of the West Virginia Mine Drainage Task Force Symposium &amp; 15th International Mine Water Association Congress, Morgantown, WV, USA, 625-626. (https://www.imwa.info/docs/imwa_2024/IMWA2024_Vesper_625.pdf)</v>
      </c>
    </row>
    <row r="19" spans="1:7" x14ac:dyDescent="0.2">
      <c r="A19" s="5">
        <f>1+A20</f>
        <v>117</v>
      </c>
      <c r="B19" s="2" t="s">
        <v>55</v>
      </c>
      <c r="C19" s="2">
        <v>2024</v>
      </c>
      <c r="D19" s="2" t="s">
        <v>309</v>
      </c>
      <c r="E19" s="2" t="s">
        <v>310</v>
      </c>
      <c r="F19" s="6" t="s">
        <v>311</v>
      </c>
      <c r="G19" s="1" t="str">
        <f t="shared" si="1"/>
        <v>Cravotta, C.A. III (2024) Interactive PHREEQ-N-Ra-Cl-pH-Titration water-quality modeling tools to evaluate potential aqueous/solid equilibrium distributions of radium and associated dissolved constituents in response to changes in salinity or pH (software download): : U.S. Geological Survey Software Release. (https://doi.org/10.5066/P9157D7U)</v>
      </c>
    </row>
    <row r="20" spans="1:7" x14ac:dyDescent="0.2">
      <c r="A20" s="5">
        <v>116</v>
      </c>
      <c r="B20" s="1" t="s">
        <v>312</v>
      </c>
      <c r="C20" s="1">
        <v>2024</v>
      </c>
      <c r="D20" s="1" t="s">
        <v>241</v>
      </c>
      <c r="E20" s="1" t="s">
        <v>313</v>
      </c>
      <c r="F20" s="6" t="s">
        <v>242</v>
      </c>
      <c r="G20" s="1" t="str">
        <f t="shared" si="1"/>
        <v>Schaffer, C.R., Cravotta, C.A. III, Capo, R.C., Hedin, B.C., Vesper, D.J., Stewart, B.W. (2024) Multi-decadal geochemical evolution of drainage from underground coal mines in the Appalachian basin, USA: Science of the Total Environment 947, 174681. (https://doi.org/10.1016/j.scitotenv.2024.174681)</v>
      </c>
    </row>
    <row r="21" spans="1:7" x14ac:dyDescent="0.2">
      <c r="A21" s="5">
        <v>115</v>
      </c>
      <c r="B21" s="1" t="s">
        <v>314</v>
      </c>
      <c r="C21" s="1">
        <v>2024</v>
      </c>
      <c r="D21" s="1" t="s">
        <v>244</v>
      </c>
      <c r="E21" s="1" t="s">
        <v>315</v>
      </c>
      <c r="F21" s="6" t="s">
        <v>243</v>
      </c>
      <c r="G21" s="1" t="str">
        <f t="shared" si="1"/>
        <v>Marks, N.J., Cravotta, C.A. III, Rossi, M.L., Silva, C., Kremer, P., Goldsmith, S. (2024) Exploring spatial and temporal symptoms of the freshwater salinization syndrome in a rural to urban watershed: Science of the Total Environment 947, 174266. (https://doi.org/10.1016/j.scitotenv.2024.174266)</v>
      </c>
    </row>
    <row r="22" spans="1:7" x14ac:dyDescent="0.2">
      <c r="A22" s="5">
        <v>114</v>
      </c>
      <c r="B22" s="1" t="s">
        <v>316</v>
      </c>
      <c r="C22" s="1">
        <v>2024</v>
      </c>
      <c r="D22" s="1" t="s">
        <v>245</v>
      </c>
      <c r="E22" s="1" t="s">
        <v>317</v>
      </c>
      <c r="F22" s="6" t="s">
        <v>246</v>
      </c>
      <c r="G22" s="1" t="str">
        <f t="shared" si="1"/>
        <v>Clune, J.W., Cravotta, C.A. III, Husic, A., Dozier, H.J., Schimdt, K.E. (2024) Complex hydrology and variability of nitrogen sources in a karst watershed: Journal of Environmental Quality 53, 492-507. (https://doi.org/10.1002/jeq2.20578)</v>
      </c>
    </row>
    <row r="23" spans="1:7" x14ac:dyDescent="0.2">
      <c r="A23" s="5">
        <f>1+A24</f>
        <v>113</v>
      </c>
      <c r="B23" t="s">
        <v>318</v>
      </c>
      <c r="C23" s="1">
        <v>2024</v>
      </c>
      <c r="D23" s="1" t="s">
        <v>238</v>
      </c>
      <c r="E23" s="1" t="s">
        <v>319</v>
      </c>
      <c r="F23" s="6" t="s">
        <v>239</v>
      </c>
      <c r="G23" s="1" t="str">
        <f t="shared" si="1"/>
        <v>Cravotta, C.A. III, Tasker, T.L., Smyntek, P.M., Blomquist, J.D., Clune, J.W., Zhang, Q., Schmadel, N.M., Schmer, N.K. (2024) Legacy sediment as a potential source of orthophosphate: Preliminary conceptual and geochemical models for the Susquehanna River, Chesapeake Bay Watershed, USA: Science of the Total Environment 912, 169361. (https://doi.org/10.1016/j.scitotenv.2023.169361)</v>
      </c>
    </row>
    <row r="24" spans="1:7" x14ac:dyDescent="0.2">
      <c r="A24" s="5">
        <f>1+A25</f>
        <v>112</v>
      </c>
      <c r="B24" t="s">
        <v>320</v>
      </c>
      <c r="C24" s="1">
        <v>2024</v>
      </c>
      <c r="D24" s="1" t="s">
        <v>198</v>
      </c>
      <c r="E24" s="1" t="s">
        <v>321</v>
      </c>
      <c r="F24" s="6" t="s">
        <v>237</v>
      </c>
      <c r="G24" s="1" t="str">
        <f t="shared" si="1"/>
        <v>Hedin, B.C., Stuckman, M.Y., Cravotta C.A. III, Lopano, C.L., Capo, R.C. (2024) Determination and prediction of micro scale rare earth element geochemical associations in mine drainage treatment wastes: Chemosphere 346, 147475. (https://doi.org/10.1016/j.chemosphere.2023.140475)</v>
      </c>
    </row>
    <row r="25" spans="1:7" x14ac:dyDescent="0.2">
      <c r="A25" s="5">
        <f>1+A26</f>
        <v>111</v>
      </c>
      <c r="B25" s="1" t="s">
        <v>322</v>
      </c>
      <c r="C25" s="1">
        <v>2023</v>
      </c>
      <c r="D25" s="1" t="s">
        <v>232</v>
      </c>
      <c r="E25" s="1" t="s">
        <v>323</v>
      </c>
      <c r="F25" s="6" t="s">
        <v>233</v>
      </c>
      <c r="G25" s="1" t="str">
        <f t="shared" si="1"/>
        <v>Rossi, M.L., Kremer, P., Cravotta, C.A., Seng, K.E., Goldsmith, S.T. (2023) Land development and road salt usage drive long-term changes in major-ion chemistry of streamwater in six exurban and suburban watersheds, southeastern Pennsylvania, 1999–2019: Frontiers in Environmental Science 11, 1153133. (https://doi.org/10.3389/fenvs.2023.1153133)</v>
      </c>
    </row>
    <row r="26" spans="1:7" x14ac:dyDescent="0.2">
      <c r="A26" s="5">
        <f>1+A27</f>
        <v>110</v>
      </c>
      <c r="B26" s="1" t="s">
        <v>324</v>
      </c>
      <c r="C26" s="1">
        <v>2023</v>
      </c>
      <c r="D26" s="1" t="s">
        <v>234</v>
      </c>
      <c r="E26" s="1" t="s">
        <v>325</v>
      </c>
      <c r="F26" s="6" t="s">
        <v>235</v>
      </c>
      <c r="G26" s="1" t="str">
        <f t="shared" si="1"/>
        <v>McCleskey, R.B., Cravotta C.A. III, Miller, M.P., Tillman, F., Stackelberg, P., Knierim, K.J., Wise, D.R. (2023) Salinity and total dissolved solids measurements for natural waters: an overview and a new salinity estimation method based on specific conductance measurements and water ty: Applied Geochemistry 154 105684. (https://doi.org/10.1016/j.apgeochem.2023.105684)</v>
      </c>
    </row>
    <row r="27" spans="1:7" x14ac:dyDescent="0.2">
      <c r="A27" s="5">
        <v>109</v>
      </c>
      <c r="B27" s="1" t="s">
        <v>326</v>
      </c>
      <c r="C27" s="1">
        <v>2023</v>
      </c>
      <c r="D27" s="1" t="s">
        <v>226</v>
      </c>
      <c r="E27" s="1" t="s">
        <v>327</v>
      </c>
      <c r="F27" s="6" t="s">
        <v>225</v>
      </c>
      <c r="G27" s="1" t="str">
        <f t="shared" si="1"/>
        <v>Szabo, Z., Cravotta, C.A. III, Stackelberg, P.E., Belitz, K. (2023) Gross alpha-particle activity regulation might not be protective for 210Po in the Atlantic and Gulf Coastal Plain aquifers of the United States: ES&amp;T Water 3, 262-274. (https://doi.org/10.1021/acsestwater.2c00027)</v>
      </c>
    </row>
    <row r="28" spans="1:7" x14ac:dyDescent="0.2">
      <c r="A28" s="5">
        <v>108</v>
      </c>
      <c r="B28" s="1" t="s">
        <v>55</v>
      </c>
      <c r="C28" s="1">
        <v>2022</v>
      </c>
      <c r="D28" s="1" t="s">
        <v>207</v>
      </c>
      <c r="E28" s="1" t="s">
        <v>328</v>
      </c>
      <c r="F28" s="6" t="s">
        <v>224</v>
      </c>
      <c r="G28" s="1" t="str">
        <f t="shared" si="1"/>
        <v>Cravotta, C.A. III (2022) PHREEQ-N-AMDTreat+REYS water-quality modeling tools to evaluate acid mine drainage treatment strategies for recovery of rare-earth elements: Proceedings of the 12th International Conference on Acid Mine Drainage, online. 18-24 September 2022, 788-804. (https://drive.google.com/file/d/1H07fhUBKaqLFTQl5DwYH-bxOHWctIdbJ/view)</v>
      </c>
    </row>
    <row r="29" spans="1:7" x14ac:dyDescent="0.2">
      <c r="A29" s="5">
        <v>107</v>
      </c>
      <c r="B29" s="1" t="s">
        <v>329</v>
      </c>
      <c r="C29" s="1">
        <v>2022</v>
      </c>
      <c r="D29" s="1" t="s">
        <v>208</v>
      </c>
      <c r="E29" s="1" t="s">
        <v>330</v>
      </c>
      <c r="F29" s="6" t="s">
        <v>224</v>
      </c>
      <c r="G29" s="1" t="str">
        <f t="shared" si="1"/>
        <v>Hedin, B.C., Cravotta, C.A., Stuckman, M.Y., Lopano, C.L., Capo, R.C., Hedin, R.S. (2022) Determination and prediction of rare earth element geochemical associations in acid mine drainage treatment wastes: Proceedings of the 12th International Conference on Acid Mine Drainage, online. 18-24 September 2022, 626-633. (https://drive.google.com/file/d/1H07fhUBKaqLFTQl5DwYH-bxOHWctIdbJ/view)</v>
      </c>
    </row>
    <row r="30" spans="1:7" x14ac:dyDescent="0.2">
      <c r="A30" s="5">
        <f t="shared" ref="A30:A93" si="2">1+A31</f>
        <v>106</v>
      </c>
      <c r="B30" s="1" t="s">
        <v>331</v>
      </c>
      <c r="C30" s="1">
        <v>2022</v>
      </c>
      <c r="D30" s="1" t="s">
        <v>219</v>
      </c>
      <c r="E30" s="1" t="s">
        <v>332</v>
      </c>
      <c r="F30" s="6" t="s">
        <v>220</v>
      </c>
      <c r="G30" s="1" t="str">
        <f t="shared" si="1"/>
        <v>Rossi, M.L., Kremer, Peleg, Cravotta, C.A., Scheirer, K.E., Goldsmith, S.T. (2022) Long-term impacts of impervious surface cover change and roadway deicing agent application on chloride concentrations in exurban and suburban watersheds: Science of the Total Environment 851, 157933. (https://doi.org/10.1016/j.scitotenv.2022.157933)</v>
      </c>
    </row>
    <row r="31" spans="1:7" x14ac:dyDescent="0.2">
      <c r="A31" s="5">
        <f t="shared" si="2"/>
        <v>105</v>
      </c>
      <c r="B31" s="2" t="s">
        <v>55</v>
      </c>
      <c r="C31" s="2">
        <v>2022</v>
      </c>
      <c r="D31" s="2" t="s">
        <v>217</v>
      </c>
      <c r="E31" s="2" t="s">
        <v>254</v>
      </c>
      <c r="F31" s="6" t="s">
        <v>216</v>
      </c>
      <c r="G31" s="1" t="str">
        <f t="shared" si="1"/>
        <v>Cravotta, C.A. III (2022) Interactive PHREEQ-N-AMDTreat+REYs water-quality modeling tools to evaluate potential attenuation of rare-earth elements and associated dissolved constituents by aqueous-solid equilibrium processes (software download): U.S. Geological Survey Software Release.  (https://doi.org/10.5066/P9M5QVK0)</v>
      </c>
    </row>
    <row r="32" spans="1:7" x14ac:dyDescent="0.2">
      <c r="A32" s="5">
        <f t="shared" si="2"/>
        <v>104</v>
      </c>
      <c r="B32" s="1" t="s">
        <v>333</v>
      </c>
      <c r="C32" s="1">
        <v>2022</v>
      </c>
      <c r="D32" s="1" t="s">
        <v>200</v>
      </c>
      <c r="E32" s="1" t="s">
        <v>334</v>
      </c>
      <c r="F32" s="6" t="s">
        <v>205</v>
      </c>
      <c r="G32" s="1" t="str">
        <f t="shared" si="1"/>
        <v>Spellman, C.J. Jr., Smyntek, P.M., Cravotta, C.A. III, Tasker, T.L., Strosnider, W.H.J. (2022) Pollutant co-attenuation via in-stream interactions between mine drainage and municipal wastewater: Water Research 214, 118173. (https://doi.org/10.1016/j.watres.2022.118173)</v>
      </c>
    </row>
    <row r="33" spans="1:7" x14ac:dyDescent="0.2">
      <c r="A33" s="5">
        <f t="shared" si="2"/>
        <v>103</v>
      </c>
      <c r="B33" s="1" t="s">
        <v>335</v>
      </c>
      <c r="C33" s="1">
        <v>2022</v>
      </c>
      <c r="D33" s="1" t="s">
        <v>197</v>
      </c>
      <c r="E33" s="1" t="s">
        <v>336</v>
      </c>
      <c r="F33" s="6" t="s">
        <v>204</v>
      </c>
      <c r="G33" s="1" t="str">
        <f t="shared" si="1"/>
        <v>Smyntek, P., Lamagna, N., Cravotta, C.A. III, Strosnider, W.H.J. (2022) Mine drainage precipitates attenuate and conceal wastewater-derived phosphate pollution in stream water: Science of the Total Environment 815, 152672. (http://dx.doi.org/10.1016/j.scitotenv.2021.152672)</v>
      </c>
    </row>
    <row r="34" spans="1:7" x14ac:dyDescent="0.2">
      <c r="A34" s="5">
        <f t="shared" si="2"/>
        <v>102</v>
      </c>
      <c r="B34" s="1" t="s">
        <v>337</v>
      </c>
      <c r="C34" s="1">
        <v>2022</v>
      </c>
      <c r="D34" s="1" t="s">
        <v>196</v>
      </c>
      <c r="E34" s="1" t="s">
        <v>338</v>
      </c>
      <c r="F34" s="6" t="s">
        <v>202</v>
      </c>
      <c r="G34" s="1" t="str">
        <f t="shared" si="1"/>
        <v>Cravotta, C.A. III, Senior, L.A., Conlon, M.D. (2022) Factors affecting groundwater quality used for domestic supply in Marcellus Shale region of north-central and north-east Pennsylvania, USA: Applied Geochemistry 137, 105149. (https://doi.org/10.1016/j.apgeochem.2021.105149)</v>
      </c>
    </row>
    <row r="35" spans="1:7" x14ac:dyDescent="0.2">
      <c r="A35" s="5">
        <f t="shared" si="2"/>
        <v>101</v>
      </c>
      <c r="B35" s="1" t="s">
        <v>339</v>
      </c>
      <c r="C35" s="1">
        <v>2021</v>
      </c>
      <c r="D35" s="1" t="s">
        <v>201</v>
      </c>
      <c r="E35" s="1" t="s">
        <v>340</v>
      </c>
      <c r="F35" s="6" t="s">
        <v>203</v>
      </c>
      <c r="G35" s="1" t="str">
        <f t="shared" si="1"/>
        <v>Lindsey, B.D., Cravotta, C.A. III, Szabo, Z., Belitz, K., Stackelberg, P.E. (2021) Relation between road-salt application and increasing radium concentrations in a low-pH aquifer, southern New Jersey: ES&amp;T Water 1, 2541-2547. (https://doi.org/10.1021/acsestwater.1c00307)</v>
      </c>
    </row>
    <row r="36" spans="1:7" ht="17" x14ac:dyDescent="0.25">
      <c r="A36" s="5">
        <f t="shared" si="2"/>
        <v>100</v>
      </c>
      <c r="B36" s="2" t="s">
        <v>55</v>
      </c>
      <c r="C36" s="2">
        <v>2021</v>
      </c>
      <c r="D36" s="2" t="s">
        <v>206</v>
      </c>
      <c r="E36" s="2" t="s">
        <v>254</v>
      </c>
      <c r="F36" s="6" t="s">
        <v>199</v>
      </c>
      <c r="G36" s="1" t="str">
        <f t="shared" si="1"/>
        <v>Cravotta, C.A. III (2021) Interactive PHREEQ-N-Titration-PO4-Adsorption water-quality modeling tools to evaluate potential attenuation of phosphate and associated dissolved constituents by aqueous-solid equilibrium processes (software download): U.S. Geological Survey Software Release.  (https://doi.org/10.5066/P9D8VQDV)</v>
      </c>
    </row>
    <row r="37" spans="1:7" x14ac:dyDescent="0.2">
      <c r="A37" s="5">
        <f t="shared" si="2"/>
        <v>99</v>
      </c>
      <c r="B37" s="1" t="s">
        <v>341</v>
      </c>
      <c r="C37" s="1">
        <v>2021</v>
      </c>
      <c r="D37" s="1" t="s">
        <v>195</v>
      </c>
      <c r="E37" s="1" t="s">
        <v>342</v>
      </c>
      <c r="F37" s="6" t="s">
        <v>194</v>
      </c>
      <c r="G37" s="1" t="str">
        <f t="shared" si="1"/>
        <v>Erickson, M.L., Elliott, S.M., Brown, C.J., Stackelberg, P.E., Ransom, K.M., Reddy, J.E., Cravotta, C.A. III  (2021) Machine-learning predictions of high arsenic and high manganese at drinking water depths of the Glacial Aquifer System, northern continental United States: Environmental Science &amp; Technology 55, 5791-5805. (https://doi.org/10.1021/acs.est.0c06740)</v>
      </c>
    </row>
    <row r="38" spans="1:7" x14ac:dyDescent="0.2">
      <c r="A38" s="5">
        <f t="shared" si="2"/>
        <v>98</v>
      </c>
      <c r="B38" s="1" t="s">
        <v>55</v>
      </c>
      <c r="C38" s="1">
        <v>2021</v>
      </c>
      <c r="D38" s="1" t="s">
        <v>160</v>
      </c>
      <c r="E38" s="1" t="s">
        <v>343</v>
      </c>
      <c r="F38" s="6" t="s">
        <v>163</v>
      </c>
      <c r="G38" s="1" t="str">
        <f t="shared" si="1"/>
        <v>Cravotta, C.A. III (2021) Interactive PHREEQ-N-AMDTreat water-quality modeling tools to evaluate performance and design of treatment systems for acid mine drainage: Applied Geochemistry 126, 10845. (https://doi.org/10.1016/j.apgeochem.2020.104845)</v>
      </c>
    </row>
    <row r="39" spans="1:7" x14ac:dyDescent="0.2">
      <c r="A39" s="5">
        <f t="shared" si="2"/>
        <v>97</v>
      </c>
      <c r="B39" s="1" t="s">
        <v>344</v>
      </c>
      <c r="C39" s="1">
        <v>2021</v>
      </c>
      <c r="D39" s="1" t="s">
        <v>152</v>
      </c>
      <c r="E39" s="1" t="s">
        <v>345</v>
      </c>
      <c r="F39" s="6" t="s">
        <v>164</v>
      </c>
      <c r="G39" s="1" t="str">
        <f t="shared" si="1"/>
        <v>Lindsey, B.D., Belitz, Kenneth, Cravotta, C.A. III, Dubrovsky, N.M., Toccalino, Patricia (2021) Lithium in groundwater used for drinking-water supply in the United States: Science of the Total Environment 767, 144691.  (https://doi.org/10.1016/j.scitotenv.2020.144691)</v>
      </c>
    </row>
    <row r="40" spans="1:7" x14ac:dyDescent="0.2">
      <c r="A40" s="5">
        <f t="shared" si="2"/>
        <v>96</v>
      </c>
      <c r="B40" s="2" t="s">
        <v>55</v>
      </c>
      <c r="C40" s="2">
        <v>2020</v>
      </c>
      <c r="D40" s="2" t="s">
        <v>161</v>
      </c>
      <c r="E40" s="2" t="s">
        <v>254</v>
      </c>
      <c r="F40" s="6" t="s">
        <v>162</v>
      </c>
      <c r="G40" s="1" t="str">
        <f t="shared" si="1"/>
        <v>Cravotta, C.A. III (2020) Interactive PHREEQ-N-AMDTreat water-quality modeling tools to evaluate performance and design of treatment systems for acid mine drainage (software download): U.S. Geological Survey Software Release.  (https://doi.org/10.5066/P9QEE3D5)</v>
      </c>
    </row>
    <row r="41" spans="1:7" x14ac:dyDescent="0.2">
      <c r="A41" s="5">
        <f t="shared" si="2"/>
        <v>95</v>
      </c>
      <c r="B41" s="2" t="s">
        <v>346</v>
      </c>
      <c r="C41" s="2">
        <v>2020</v>
      </c>
      <c r="D41" s="2" t="s">
        <v>157</v>
      </c>
      <c r="E41" s="2" t="s">
        <v>158</v>
      </c>
      <c r="F41" s="6" t="s">
        <v>159</v>
      </c>
      <c r="G41" s="1" t="str">
        <f t="shared" si="1"/>
        <v>Galeone, D.G., Cravotta, C.A. III, Risser, D.W. (2020) Groundwater quality in relation to drinking water health standards and hydrogeologic and geochemical characteristics for 47 domestic wells in Potter County, Pennsylvania, 2017: U.S. Geological Survey Scientific Investigations Report 2020-5038, 67 p. (https://doi.org/10.3133/sir20205038)</v>
      </c>
    </row>
    <row r="42" spans="1:7" x14ac:dyDescent="0.2">
      <c r="A42" s="5">
        <f t="shared" si="2"/>
        <v>94</v>
      </c>
      <c r="B42" s="1" t="s">
        <v>347</v>
      </c>
      <c r="C42" s="1">
        <v>2020</v>
      </c>
      <c r="D42" s="1" t="s">
        <v>193</v>
      </c>
      <c r="E42" s="1" t="s">
        <v>348</v>
      </c>
      <c r="F42" s="6" t="s">
        <v>151</v>
      </c>
      <c r="G42" s="1" t="str">
        <f t="shared" si="1"/>
        <v>Szabo, Z., Stackelberg, P.E., Cravotta, C.A. III (2020) Occurrence and geochemistry of lead-210 and polonium-210 radionuclides in public drinking water supplies from principal aquifers of the United States: Environmental Science &amp; Technology 54, 7236-7249. (https://doi.org/10.1021/acs.est.0c00192)</v>
      </c>
    </row>
    <row r="43" spans="1:7" x14ac:dyDescent="0.2">
      <c r="A43" s="5">
        <f t="shared" si="2"/>
        <v>93</v>
      </c>
      <c r="B43" s="2" t="s">
        <v>349</v>
      </c>
      <c r="C43" s="2">
        <v>2020</v>
      </c>
      <c r="D43" s="2" t="s">
        <v>149</v>
      </c>
      <c r="E43" s="2" t="s">
        <v>350</v>
      </c>
      <c r="F43" s="6" t="s">
        <v>150</v>
      </c>
      <c r="G43" s="1" t="str">
        <f t="shared" si="1"/>
        <v>Clune, J.W., Cravotta, C.A. III (2020) Groundwater quality in relation to drinking water health standards and geochemical characteristics for 54 domestic wells in Clinton County, Pennsylvania, 2017: U.S. Geological Survey Scientific Investigations Report 2020-5022, 72 p. (https://doi.org/10.3133/sir20205022)</v>
      </c>
    </row>
    <row r="44" spans="1:7" x14ac:dyDescent="0.2">
      <c r="A44" s="5">
        <f t="shared" si="2"/>
        <v>92</v>
      </c>
      <c r="B44" s="1" t="s">
        <v>351</v>
      </c>
      <c r="C44" s="1">
        <v>2020</v>
      </c>
      <c r="D44" s="1" t="s">
        <v>146</v>
      </c>
      <c r="E44" s="1" t="s">
        <v>352</v>
      </c>
      <c r="F44" s="6" t="s">
        <v>147</v>
      </c>
      <c r="G44" s="1" t="str">
        <f t="shared" si="1"/>
        <v>Castillo-Meza, L.E., Cravotta, C.A. III, Tasker, T.L., Warner, N.R., Daniels, W.L., Orndorff, Z.W., Bergstresser, T., Douglass, A., Kimble, G., Streczywilk, J., Barton, C., Fulton, S., Thompson A., Burgos, W.D. (2020) Batch extraction method to estimate total dissolved solids (TDS) release from coal refuse and overburden: Applied Geochemistry 115, 104540. (https://doi.org/10.1016/j.apgeochem.2020.104540)</v>
      </c>
    </row>
    <row r="45" spans="1:7" x14ac:dyDescent="0.2">
      <c r="A45" s="5">
        <f t="shared" si="2"/>
        <v>91</v>
      </c>
      <c r="B45" s="1" t="s">
        <v>353</v>
      </c>
      <c r="C45" s="1">
        <v>2019</v>
      </c>
      <c r="D45" s="1" t="s">
        <v>143</v>
      </c>
      <c r="E45" s="1" t="s">
        <v>354</v>
      </c>
      <c r="F45" s="6" t="s">
        <v>142</v>
      </c>
      <c r="G45" s="1" t="str">
        <f t="shared" si="1"/>
        <v>Burté, L., Cravotta, C.A. III, Bethencourt, L., Farasin, J., Pédrot, M., Dufrense, Al, Gérard, M.-F., Baranger, C.C., Le Borgne, T., Aquilina, L. (2019) Kinetic study on clogging of a geothermal pumping well triggered by mixing-induced biogeochemical reactions: Environmental Science &amp; Technology 53, 5848-5857. (https://pubs.acs.org/doi/pdf/10.1021/acs.est.9b00453)</v>
      </c>
    </row>
    <row r="46" spans="1:7" x14ac:dyDescent="0.2">
      <c r="A46" s="5">
        <f t="shared" si="2"/>
        <v>90</v>
      </c>
      <c r="B46" s="2" t="s">
        <v>349</v>
      </c>
      <c r="C46" s="2">
        <v>2019</v>
      </c>
      <c r="D46" s="2" t="s">
        <v>144</v>
      </c>
      <c r="E46" s="2" t="s">
        <v>355</v>
      </c>
      <c r="F46" s="6" t="s">
        <v>145</v>
      </c>
      <c r="G46" s="1" t="str">
        <f t="shared" si="1"/>
        <v>Clune, J.W., Cravotta, C.A. III (2019) Drinking water health standards comparison and chemical analysis of groundwater for 72 domestic wells in Bradford County, Pennsylvania, 2016: U.S. Geological Survey Scientific Investigations Report 2018-5170, 66 p.  (https://doi.org/10.3133/sir20185170)</v>
      </c>
    </row>
    <row r="47" spans="1:7" x14ac:dyDescent="0.2">
      <c r="A47" s="5">
        <f t="shared" si="2"/>
        <v>89</v>
      </c>
      <c r="B47" s="7" t="s">
        <v>356</v>
      </c>
      <c r="C47" s="1">
        <v>2019</v>
      </c>
      <c r="D47" s="1" t="s">
        <v>138</v>
      </c>
      <c r="E47" s="7" t="s">
        <v>357</v>
      </c>
      <c r="F47" s="6" t="s">
        <v>139</v>
      </c>
      <c r="G47" s="1" t="str">
        <f t="shared" si="1"/>
        <v>McDevitt, B., McLaughlin, M., Cravotta, C.A. III, Ajemigbitsea, M.A., Van Sice, K.J., Blotevogel, J., Borch, T., Warner, N.R. (2019) Emerging investigator series: radium accumulation in carbonate river sediments at oil and gas produced water discharges: implications for beneficial use as disposal management: Environmental Science: Processes &amp; Impacts 21, 324-338.  (https://doi.org/10.1039/c8em00336j)</v>
      </c>
    </row>
    <row r="48" spans="1:7" x14ac:dyDescent="0.2">
      <c r="A48" s="5">
        <f t="shared" si="2"/>
        <v>88</v>
      </c>
      <c r="B48" s="1" t="s">
        <v>358</v>
      </c>
      <c r="C48" s="1">
        <v>2019</v>
      </c>
      <c r="D48" s="1" t="s">
        <v>140</v>
      </c>
      <c r="E48" s="1" t="s">
        <v>359</v>
      </c>
      <c r="F48" s="6" t="s">
        <v>141</v>
      </c>
      <c r="G48" s="1" t="str">
        <f t="shared" si="1"/>
        <v>Brown, C.J., Barlow, J.R.B., Cravotta, C.A. III, Lindsey, B.D. (2019) Factors affecting the occurrence of lead and manganese in untreated drinking water from Atlantic and Gulf Coastal Plain aquifers, eastern United States—Dissolved oxygen and pH framework for evaluating risk of elevated concentrations: Applied Geochemistry 101, 88-102. (https://doi.org/10.1016/j.apgeochem.2018.10.017)</v>
      </c>
    </row>
    <row r="49" spans="1:7" x14ac:dyDescent="0.2">
      <c r="A49" s="5">
        <f t="shared" si="2"/>
        <v>87</v>
      </c>
      <c r="B49" s="1" t="s">
        <v>360</v>
      </c>
      <c r="C49" s="1">
        <v>2018</v>
      </c>
      <c r="D49" s="1" t="s">
        <v>132</v>
      </c>
      <c r="E49" s="1" t="s">
        <v>361</v>
      </c>
      <c r="F49" s="6" t="s">
        <v>137</v>
      </c>
      <c r="G49" s="1" t="str">
        <f t="shared" si="1"/>
        <v>Van Sice, K., Cravotta, C.A. III, McDevitt, B., Tasker, T., Landis, J., Puhr, J., Warner, N. (2018) Radium attenuation and mobilization in stream sediments following oil and gas wastewater disposal in western Pennsylvania: Applied Geochemistry 98, 393-403. (https://doi.org/10.1016/j.apgeochem.2018.10.011)</v>
      </c>
    </row>
    <row r="50" spans="1:7" x14ac:dyDescent="0.2">
      <c r="A50" s="5">
        <f t="shared" si="2"/>
        <v>86</v>
      </c>
      <c r="B50" s="2" t="s">
        <v>362</v>
      </c>
      <c r="C50" s="2">
        <v>2018</v>
      </c>
      <c r="D50" s="2" t="s">
        <v>133</v>
      </c>
      <c r="E50" s="2" t="s">
        <v>363</v>
      </c>
      <c r="F50" s="6" t="s">
        <v>134</v>
      </c>
      <c r="G50" s="1" t="str">
        <f t="shared" si="1"/>
        <v>Cravotta, C.A., III, Galeone, D.G., Penrod, K.A. (2018) Hydrologic characteristics and water quality of headwater streams and wetlands at the Allegheny Portage Railroad National Historic Site, Summit area, Blair and Cambria Counties, Pennsylvania, 2014–16: U.S. Geological Survey Open-File Report 2018-1125, 21 p. (https://doi.org/10.3133/ofr20181125)</v>
      </c>
    </row>
    <row r="51" spans="1:7" x14ac:dyDescent="0.2">
      <c r="A51" s="5">
        <f t="shared" si="2"/>
        <v>85</v>
      </c>
      <c r="B51" s="2" t="s">
        <v>364</v>
      </c>
      <c r="C51" s="2">
        <v>2018</v>
      </c>
      <c r="D51" s="2" t="s">
        <v>136</v>
      </c>
      <c r="E51" s="2" t="s">
        <v>365</v>
      </c>
      <c r="F51" s="6" t="s">
        <v>135</v>
      </c>
      <c r="G51" s="1" t="str">
        <f t="shared" si="1"/>
        <v>Cravotta III, C.A., Galeone, D.G., Penrod, K.A., Conlon, M.D. (2018) Hydrologic data collected by the U.S. Geological Survey and National Park Service at the Allegheny Portage Railroad National Historic Site, Summit Area, Blair and Cambria Counties, Pennsylvania, April 2014-December 2016: U.S. Geological Survey data release. (https://doi.org/10.5066/P9YWMMHG)</v>
      </c>
    </row>
    <row r="52" spans="1:7" x14ac:dyDescent="0.2">
      <c r="A52" s="5">
        <f t="shared" si="2"/>
        <v>84</v>
      </c>
      <c r="B52" s="2" t="s">
        <v>366</v>
      </c>
      <c r="C52" s="2">
        <v>2017</v>
      </c>
      <c r="D52" s="2" t="s">
        <v>130</v>
      </c>
      <c r="E52" s="2" t="s">
        <v>131</v>
      </c>
      <c r="F52" s="6" t="s">
        <v>168</v>
      </c>
      <c r="G52" s="1" t="str">
        <f t="shared" si="1"/>
        <v>Senior, L.A., Cravotta, C.A. III (2017) Baseline assessment of groundwater quality in Pike County, Pennsylvania, 2015: U.S. Geological Survey Scientific Investigations Report 2017-5110, 181 p. (https://doi.org/10.3133/sir20175110)</v>
      </c>
    </row>
    <row r="53" spans="1:7" x14ac:dyDescent="0.2">
      <c r="A53" s="5">
        <f t="shared" si="2"/>
        <v>83</v>
      </c>
      <c r="B53" s="1" t="s">
        <v>367</v>
      </c>
      <c r="C53" s="1">
        <v>2017</v>
      </c>
      <c r="D53" s="1" t="s">
        <v>129</v>
      </c>
      <c r="E53" s="1" t="s">
        <v>368</v>
      </c>
      <c r="F53" s="6" t="s">
        <v>218</v>
      </c>
      <c r="G53" s="1" t="str">
        <f t="shared" si="1"/>
        <v>Cravotta, C.A. III, Sherrod, L., Galeone, D., Lehman, W., Ackman, T., Kramer, A. (2017) Hydrological and geophysical investigation of streamflow losses and restoration strategies in an abandoned mine lands setting: Environmental &amp; Engineering Geoscience 23, no. 4, 243-273. (https://doi.org/10.2113/gseegeosci.23.4.243)</v>
      </c>
    </row>
    <row r="54" spans="1:7" x14ac:dyDescent="0.2">
      <c r="A54" s="5">
        <f t="shared" si="2"/>
        <v>82</v>
      </c>
      <c r="B54" s="1" t="s">
        <v>369</v>
      </c>
      <c r="C54" s="1">
        <v>2017</v>
      </c>
      <c r="D54" s="1" t="s">
        <v>127</v>
      </c>
      <c r="E54" s="1" t="s">
        <v>370</v>
      </c>
      <c r="F54" s="6" t="s">
        <v>171</v>
      </c>
      <c r="G54" s="1" t="str">
        <f t="shared" si="1"/>
        <v>Burrows, J.E., Cravotta, C.A. III, Peters, S.C. (2017) Enhanced Al and Zn removal from coal-mine drainage during rapid oxidation and precipitation of Fe oxides at near-neutral  pH: Applied Geochemistry 78, 194-210. (https://doi.org/10.1016/j.apgeochem.2016.12.019)</v>
      </c>
    </row>
    <row r="55" spans="1:7" x14ac:dyDescent="0.2">
      <c r="A55" s="5">
        <f t="shared" si="2"/>
        <v>81</v>
      </c>
      <c r="B55" s="1" t="s">
        <v>371</v>
      </c>
      <c r="C55" s="1">
        <v>2017</v>
      </c>
      <c r="D55" s="1" t="s">
        <v>61</v>
      </c>
      <c r="E55" s="8" t="s">
        <v>372</v>
      </c>
      <c r="F55" s="6" t="s">
        <v>172</v>
      </c>
      <c r="G55" s="1" t="str">
        <f t="shared" si="1"/>
        <v>Zhou, Jianping, Wang, Hongmei, Cravotta, C.A. III, Dong, Qiang, Xiang, Xing (2017) Dissolution of fluorapatite by Pseudomonas fluorescens P35 resulting in fluorine release: Geomicrobiology Journal 34, no. 5, 421-433. (https://doi.org/10.1080/01490451.2016.1204376)</v>
      </c>
    </row>
    <row r="56" spans="1:7" x14ac:dyDescent="0.2">
      <c r="A56" s="5">
        <f t="shared" si="2"/>
        <v>80</v>
      </c>
      <c r="B56" s="2" t="s">
        <v>373</v>
      </c>
      <c r="C56" s="2">
        <v>2016</v>
      </c>
      <c r="D56" s="2" t="s">
        <v>128</v>
      </c>
      <c r="E56" s="2" t="s">
        <v>374</v>
      </c>
      <c r="F56" s="6" t="s">
        <v>169</v>
      </c>
      <c r="G56" s="1" t="str">
        <f t="shared" si="1"/>
        <v>Gross, E.L.Cravotta, C.A. III (2016) Groundwater quality for 75 domestic wells in Lycoming County, 2014: U.S. Geological Survey Scientific Investigations Report 2016-5143, 72 p. (https://doi.org/10.3133/sir20165143)</v>
      </c>
    </row>
    <row r="57" spans="1:7" x14ac:dyDescent="0.2">
      <c r="A57" s="5">
        <f t="shared" si="2"/>
        <v>79</v>
      </c>
      <c r="B57" s="2" t="s">
        <v>375</v>
      </c>
      <c r="C57" s="2">
        <v>2016</v>
      </c>
      <c r="D57" s="2" t="s">
        <v>126</v>
      </c>
      <c r="E57" s="2" t="s">
        <v>376</v>
      </c>
      <c r="F57" s="6" t="s">
        <v>165</v>
      </c>
      <c r="G57" s="1" t="str">
        <f t="shared" si="1"/>
        <v>Senior, L.A., Cravotta, C.A., III, Sloto, R.A. (2016) Baseline assessment of groundwater quality in Wayne County, Pennsylvania, 2014: U.S. Geological Survey Scientific Investigations Report 2016-5073, 136 p. (https://doi.org/10.3133/sir20165073)</v>
      </c>
    </row>
    <row r="58" spans="1:7" x14ac:dyDescent="0.2">
      <c r="A58" s="5">
        <f t="shared" si="2"/>
        <v>78</v>
      </c>
      <c r="B58" s="1" t="s">
        <v>377</v>
      </c>
      <c r="C58" s="1">
        <v>2016</v>
      </c>
      <c r="D58" s="1" t="s">
        <v>125</v>
      </c>
      <c r="E58" s="1" t="s">
        <v>378</v>
      </c>
      <c r="F58" s="6" t="s">
        <v>173</v>
      </c>
      <c r="G58" s="1" t="str">
        <f t="shared" si="1"/>
        <v>Bigham, J.M., Cravotta, C.A. III (2016) Acid mine drainage: Encyclopedia of Soil Science, Taylor &amp; Francis LLC, 6-10. (https://doi.org/10.1081/E-ESS-120001582)</v>
      </c>
    </row>
    <row r="59" spans="1:7" x14ac:dyDescent="0.2">
      <c r="A59" s="5">
        <f t="shared" si="2"/>
        <v>77</v>
      </c>
      <c r="B59" s="1" t="s">
        <v>379</v>
      </c>
      <c r="C59" s="1">
        <v>2015</v>
      </c>
      <c r="D59" s="1" t="s">
        <v>148</v>
      </c>
      <c r="E59" s="1" t="s">
        <v>380</v>
      </c>
      <c r="F59" s="6" t="s">
        <v>174</v>
      </c>
      <c r="G59" s="1" t="str">
        <f t="shared" si="1"/>
        <v>Cravotta, C.A. III, Brady, K.B.C. (2015) Priority Pollutants and associated constituents in untreated and treated discharges from coal mines in Pennsylvania, U.S.A.: Applied Geochemistry 62, 108-130. (https://doi.org/10.1016/j.apgeochem.2015.03.001)</v>
      </c>
    </row>
    <row r="60" spans="1:7" x14ac:dyDescent="0.2">
      <c r="A60" s="5">
        <f t="shared" si="2"/>
        <v>76</v>
      </c>
      <c r="B60" s="1" t="s">
        <v>381</v>
      </c>
      <c r="C60" s="1">
        <v>2015</v>
      </c>
      <c r="D60" s="1" t="s">
        <v>60</v>
      </c>
      <c r="E60" s="1" t="s">
        <v>382</v>
      </c>
      <c r="F60" s="6" t="s">
        <v>175</v>
      </c>
      <c r="G60" s="1" t="str">
        <f t="shared" si="1"/>
        <v>Burrows, J.E., Peters, S.C., Cravotta C.A. III (2015) Temporal geochemical variations in above- and below-drainage coal mine discharge: Applied Geochemistry 62, 84-95. (https://doi.org/10.1016/j.apgeochem.2015.02.010)</v>
      </c>
    </row>
    <row r="61" spans="1:7" x14ac:dyDescent="0.2">
      <c r="A61" s="5">
        <f t="shared" si="2"/>
        <v>75</v>
      </c>
      <c r="B61" s="1" t="s">
        <v>55</v>
      </c>
      <c r="C61" s="1">
        <v>2015</v>
      </c>
      <c r="D61" s="1" t="s">
        <v>123</v>
      </c>
      <c r="E61" s="1" t="s">
        <v>383</v>
      </c>
      <c r="F61" s="6" t="s">
        <v>176</v>
      </c>
      <c r="G61" s="1" t="str">
        <f t="shared" si="1"/>
        <v>Cravotta, C.A. III (2015) Monitoring, field experiments, and geochemical modeling of Fe(II) oxidation kinetics in a stream dominated by net-alkaline coal-mine drainage, Pennsylvania, U.S.A.: Applied Geochemistry 62, 96-107. (https://doi.org/10.1016/j.apgeochem.2015.02.009)</v>
      </c>
    </row>
    <row r="62" spans="1:7" x14ac:dyDescent="0.2">
      <c r="A62" s="5">
        <f t="shared" si="2"/>
        <v>74</v>
      </c>
      <c r="B62" s="1" t="s">
        <v>384</v>
      </c>
      <c r="C62" s="1">
        <v>2015</v>
      </c>
      <c r="D62" s="1" t="s">
        <v>63</v>
      </c>
      <c r="E62" s="1" t="s">
        <v>385</v>
      </c>
      <c r="F62" s="6" t="s">
        <v>177</v>
      </c>
      <c r="G62" s="1" t="str">
        <f t="shared" si="1"/>
        <v>Cravotta, C.A. III, Means, B.,  Arthur, W., McKenzie, R., Parkhurst, D.L. (2015) AMDTreat 5.0+ with PHREEQC titration module to compute caustic chemical quantity, effluent quality, and sludge volume: Mine Water and the Environment 34, 136-152. (https://doi.org/10.1007/s10230-014-0292-6)</v>
      </c>
    </row>
    <row r="63" spans="1:7" x14ac:dyDescent="0.2">
      <c r="A63" s="5">
        <f t="shared" si="2"/>
        <v>73</v>
      </c>
      <c r="B63" s="1" t="s">
        <v>386</v>
      </c>
      <c r="C63" s="1">
        <v>2014</v>
      </c>
      <c r="D63" s="1" t="s">
        <v>65</v>
      </c>
      <c r="E63" s="1" t="s">
        <v>387</v>
      </c>
      <c r="F63" s="6" t="s">
        <v>178</v>
      </c>
      <c r="G63" s="1" t="str">
        <f t="shared" si="1"/>
        <v>Cull, Selby, Cravotta, C.A. III, Klinges, J.G., Weeks, Chloe (2014) Spectral masking of goethite in abandoned mine drainage systems: Implications for Mars: Earth and Planetary Science Letters 403, 217-224. (https://doi.org/10.1016/j.epsl.2014.06.045)</v>
      </c>
    </row>
    <row r="64" spans="1:7" x14ac:dyDescent="0.2">
      <c r="A64" s="5">
        <f t="shared" si="2"/>
        <v>72</v>
      </c>
      <c r="B64" s="2" t="s">
        <v>388</v>
      </c>
      <c r="C64" s="2">
        <v>2014</v>
      </c>
      <c r="D64" s="2" t="s">
        <v>68</v>
      </c>
      <c r="E64" s="2" t="s">
        <v>67</v>
      </c>
      <c r="F64" s="6" t="s">
        <v>170</v>
      </c>
      <c r="G64" s="1" t="str">
        <f t="shared" si="1"/>
        <v>Lindsey, B.D., Zimmerman, T.M., Chapman, M.J., Cravotta, C.A. III, Szabo, Zoltan (2014) The quality of our Nation’s waters—Water quality in the principal aquifers of the Piedmont, Blue Ridge, and Valley and Ridge regions, eastern United States, 1993–2009: U. S. Geological Survey Circular 1354, 120 p. (https://doi.org/10.3133/cir1354)</v>
      </c>
    </row>
    <row r="65" spans="1:7" x14ac:dyDescent="0.2">
      <c r="A65" s="5">
        <f t="shared" si="2"/>
        <v>71</v>
      </c>
      <c r="B65" s="4" t="s">
        <v>389</v>
      </c>
      <c r="C65" s="1">
        <v>2014</v>
      </c>
      <c r="D65" s="1" t="s">
        <v>54</v>
      </c>
      <c r="E65" s="1" t="s">
        <v>390</v>
      </c>
      <c r="F65" s="6" t="s">
        <v>179</v>
      </c>
      <c r="G65" s="1" t="str">
        <f t="shared" si="1"/>
        <v>Cravotta, C.A. III, Goode, D.J., Bartles, M.D., Risser, D.W., Galeone, D.G. (2014) Surface-water and groundwater interactions in an extensively mined watershed, upper Schuylkill River, Pennsylvania, USA: Hydrological Processes 28, 3574-3601. (https://doi.org/10.1002/hyp.9885)</v>
      </c>
    </row>
    <row r="66" spans="1:7" x14ac:dyDescent="0.2">
      <c r="A66" s="5">
        <f t="shared" si="2"/>
        <v>70</v>
      </c>
      <c r="B66" s="2" t="s">
        <v>391</v>
      </c>
      <c r="C66" s="2">
        <v>2013</v>
      </c>
      <c r="D66" s="2" t="s">
        <v>124</v>
      </c>
      <c r="E66" s="2" t="s">
        <v>59</v>
      </c>
      <c r="F66" s="6" t="s">
        <v>166</v>
      </c>
      <c r="G66" s="1" t="str">
        <f t="shared" si="1"/>
        <v>Chapman, M.J., Cravotta, C.A. III, Szabo, Zoltan, Lindsey, B.D. (2013) Naturally occurring contaminants in the Piedmont and Blue Ridge crystalline-rock aquifers and Piedmont Early Mesozoic Basin siliciclastic-rock aquifers, eastern United States, 1994-2008: U. S. Geological Survey Scientific Investigations Report 2013-5072, 74 p. (https://doi.org/10.3133/sir20135072)</v>
      </c>
    </row>
    <row r="67" spans="1:7" ht="17" x14ac:dyDescent="0.25">
      <c r="A67" s="5">
        <f t="shared" si="2"/>
        <v>69</v>
      </c>
      <c r="B67" s="1" t="s">
        <v>392</v>
      </c>
      <c r="C67" s="1">
        <v>2013</v>
      </c>
      <c r="D67" s="1" t="s">
        <v>64</v>
      </c>
      <c r="E67" s="1" t="s">
        <v>393</v>
      </c>
      <c r="F67" s="6" t="s">
        <v>58</v>
      </c>
      <c r="G67" s="1" t="str">
        <f t="shared" ref="G67:G130" si="3">CONCATENATE(B67," (",C67,") ",D67,": ",E67," (",F67,")")</f>
        <v>Cravotta, C.A. III, Geroni, J.N. (2013) Effects of CO2 on pH and oxidation rates of Fe(II) in mining affected waters: Proceedings International Mine Water Association 2013 Symposium, Golden, Colorado, 949-954.  (http://www.imwa.info/docs/imwa_2013/IMWA2013_CravottaIII_525.pdf)</v>
      </c>
    </row>
    <row r="68" spans="1:7" x14ac:dyDescent="0.2">
      <c r="A68" s="5">
        <f t="shared" si="2"/>
        <v>68</v>
      </c>
      <c r="B68" s="1" t="s">
        <v>55</v>
      </c>
      <c r="C68" s="1">
        <v>2013</v>
      </c>
      <c r="D68" s="1" t="s">
        <v>56</v>
      </c>
      <c r="E68" s="1" t="s">
        <v>394</v>
      </c>
      <c r="F68" s="6" t="s">
        <v>57</v>
      </c>
      <c r="G68" s="1" t="str">
        <f t="shared" si="3"/>
        <v>Cravotta, C.A. III (2013) Apparent rates of Fe(II) oxidation and associated hydrogeochemical interactions in an extensively mined watershed, Pennsylvania, USA: Proceedings International Mine Water Association 2013 Symposium, Golden, Colorado, 319-324. (http://www.imwa.info/docs/imwa_2013/IMWA2013_CravottaIII_461.pdf)</v>
      </c>
    </row>
    <row r="69" spans="1:7" x14ac:dyDescent="0.2">
      <c r="A69" s="5">
        <f t="shared" si="2"/>
        <v>67</v>
      </c>
      <c r="B69" s="1" t="s">
        <v>395</v>
      </c>
      <c r="C69" s="1">
        <v>2013</v>
      </c>
      <c r="D69" s="1" t="s">
        <v>53</v>
      </c>
      <c r="E69" s="1" t="s">
        <v>396</v>
      </c>
      <c r="F69" s="6" t="s">
        <v>180</v>
      </c>
      <c r="G69" s="1" t="str">
        <f t="shared" si="3"/>
        <v>Wang, H., Gong, L., Cravotta, C.A. III, Yang, X., Tuovinen, O.H., Dong, H., Fu, X. (2013) Inhibition of bacterial ferrous iron oxidation by lead nitrate in sulfate-rich systems: Journal of Hazardous Materials, vols. 244-245, 718-725 (https://doi.org/10.1016/j.jhazmat.2012.11.004)</v>
      </c>
    </row>
    <row r="70" spans="1:7" x14ac:dyDescent="0.2">
      <c r="A70" s="5">
        <f t="shared" si="2"/>
        <v>66</v>
      </c>
      <c r="B70" s="1" t="s">
        <v>397</v>
      </c>
      <c r="C70" s="1">
        <v>2013</v>
      </c>
      <c r="D70" s="1" t="s">
        <v>50</v>
      </c>
      <c r="E70" s="1" t="s">
        <v>398</v>
      </c>
      <c r="F70" s="6" t="s">
        <v>181</v>
      </c>
      <c r="G70" s="1" t="str">
        <f t="shared" si="3"/>
        <v>Han, Y., Wang, G., Cravotta, C.A. III, Hu, W., Bian, Y., Zhang, Z., Liu, Y. (2013) Hydrogeochemical evolution of Ordovician limestone groundwater in Yanzhou, North China: Hydrological Processes 27, 2247-2257.  (https://doi.org/10.1002/hyp.9297)</v>
      </c>
    </row>
    <row r="71" spans="1:7" ht="17" x14ac:dyDescent="0.25">
      <c r="A71" s="5">
        <f t="shared" si="2"/>
        <v>65</v>
      </c>
      <c r="B71" s="1" t="s">
        <v>399</v>
      </c>
      <c r="C71" s="1">
        <v>2012</v>
      </c>
      <c r="D71" s="1" t="s">
        <v>52</v>
      </c>
      <c r="E71" s="1" t="s">
        <v>400</v>
      </c>
      <c r="F71" s="6" t="s">
        <v>182</v>
      </c>
      <c r="G71" s="1" t="str">
        <f t="shared" si="3"/>
        <v>Geroni, J.N., Cravotta, C.A. III, Sapsford, D.J. (2012) Evolution of the chemistry of Fe bearing waters during CO2 degassing: Applied Geochemistry 27, 2335-2347. (https://doi.org/10.1016/j.apgeochem.2012.07.017)</v>
      </c>
    </row>
    <row r="72" spans="1:7" x14ac:dyDescent="0.2">
      <c r="A72" s="5">
        <f t="shared" si="2"/>
        <v>64</v>
      </c>
      <c r="B72" s="1" t="s">
        <v>401</v>
      </c>
      <c r="C72" s="1">
        <v>2011</v>
      </c>
      <c r="D72" s="1" t="s">
        <v>47</v>
      </c>
      <c r="E72" s="1" t="s">
        <v>402</v>
      </c>
      <c r="F72" s="6" t="s">
        <v>183</v>
      </c>
      <c r="G72" s="1" t="str">
        <f t="shared" si="3"/>
        <v>Liu, D., Wang, H., Dong, H., Qiua, X., Dong, X., Cravotta, C.A. III (2011) Mineral transformations associated with goethite reduction by Methanosarcina barkeri: Chemical Geology 288, 53-60. (https://doi.org/10.1016/j.chemgeo.2011.06.013)</v>
      </c>
    </row>
    <row r="73" spans="1:7" x14ac:dyDescent="0.2">
      <c r="A73" s="5">
        <f t="shared" si="2"/>
        <v>63</v>
      </c>
      <c r="B73" s="1" t="s">
        <v>403</v>
      </c>
      <c r="C73" s="1">
        <v>2011</v>
      </c>
      <c r="D73" s="1" t="s">
        <v>46</v>
      </c>
      <c r="E73" s="1" t="s">
        <v>45</v>
      </c>
      <c r="F73" s="6" t="s">
        <v>44</v>
      </c>
      <c r="G73" s="1" t="str">
        <f t="shared" si="3"/>
        <v>Cravotta, C.A. III, Parkhurst, D.L., Means, B., McKenzie, R., Arthur, W. (2011) Using AMDTreat and PHREEQC titration module for prediction of AMD effluents: Proceedings 32nd Annual Meeting West Virginia Surface Mine Drainage Task Force: Morgantown, W.Va., West Virginia University, 4 p.  (http://wvmdtaskforce.com/proceedings/11/Cravotta.doc)</v>
      </c>
    </row>
    <row r="74" spans="1:7" x14ac:dyDescent="0.2">
      <c r="A74" s="5">
        <f t="shared" si="2"/>
        <v>62</v>
      </c>
      <c r="B74" s="2" t="s">
        <v>404</v>
      </c>
      <c r="C74" s="2">
        <v>2011</v>
      </c>
      <c r="D74" s="2" t="s">
        <v>34</v>
      </c>
      <c r="E74" s="2" t="s">
        <v>405</v>
      </c>
      <c r="F74" s="6" t="s">
        <v>167</v>
      </c>
      <c r="G74" s="1" t="str">
        <f t="shared" si="3"/>
        <v>Goode, D.J., Cravotta, C.A. III, Hornberger, R.J., Hewitt, M.A., Hughes, R.E., Koury., D.J., Eicholtz, L.W. (2011) Water budgets and groundwater volumes for abandoned underground mines in the Western Middle Anthracite Coalfield, Schuylkill, Columbia, and Northumberland Counties, Pennsylvania—Preliminary estimates with identification of data needs: U.S. Geological Survey Scientific Investigations Report 2010-5261, 54 p.  (https://doi.org/10.3133/sir20105261)</v>
      </c>
    </row>
    <row r="75" spans="1:7" x14ac:dyDescent="0.2">
      <c r="A75" s="5">
        <f t="shared" si="2"/>
        <v>61</v>
      </c>
      <c r="B75" s="2" t="s">
        <v>406</v>
      </c>
      <c r="C75" s="2">
        <v>2010</v>
      </c>
      <c r="D75" s="2" t="s">
        <v>0</v>
      </c>
      <c r="E75" s="2" t="s">
        <v>407</v>
      </c>
      <c r="F75" s="6" t="s">
        <v>33</v>
      </c>
      <c r="G75" s="1" t="str">
        <f t="shared" si="3"/>
        <v>Denver, J.M., Cravotta, C.A. III, Ator, S.W., Lindsey, B.D. (2010) Contributions of phosphorus from groundwater to streams in the Piedmont, Blue Ridge, and Valley and Ridge Physiographic Provinces, Eastern United States: U.S. Geological Survey Scientific Investigations Report 2010-5176, 38 p.  (http://pubs.usgs.gov/sir/2010/5176/)</v>
      </c>
    </row>
    <row r="76" spans="1:7" x14ac:dyDescent="0.2">
      <c r="A76" s="5">
        <f t="shared" si="2"/>
        <v>60</v>
      </c>
      <c r="B76" s="1" t="s">
        <v>66</v>
      </c>
      <c r="C76" s="1">
        <v>2010</v>
      </c>
      <c r="D76" s="1" t="s">
        <v>72</v>
      </c>
      <c r="E76" s="1" t="s">
        <v>408</v>
      </c>
      <c r="F76" s="6" t="s">
        <v>184</v>
      </c>
      <c r="G76" s="1" t="str">
        <f t="shared" si="3"/>
        <v>Cravotta, C.A. III  (2010) Abandoned mine drainage in the Swatara Creek Basin, Southern Anthracite Coalfield, Pennsylvania, USA--2. Performance of passive-treatment systems: Mine Water and the Environment 29, 200-216.  (https://doi.org/10.1007/s10230-010-0113-5)</v>
      </c>
    </row>
    <row r="77" spans="1:7" x14ac:dyDescent="0.2">
      <c r="A77" s="5">
        <f t="shared" si="2"/>
        <v>59</v>
      </c>
      <c r="B77" s="1" t="s">
        <v>409</v>
      </c>
      <c r="C77" s="1">
        <v>2010</v>
      </c>
      <c r="D77" s="1" t="s">
        <v>73</v>
      </c>
      <c r="E77" s="1" t="s">
        <v>410</v>
      </c>
      <c r="F77" s="6" t="s">
        <v>185</v>
      </c>
      <c r="G77" s="1" t="str">
        <f t="shared" si="3"/>
        <v>Cravotta, C.A. III, Brightbill, R.A., Langland, M.J. (2010) Abandoned mine drainage in the Swatara Creek Basin, Southern Anthracite Coalfield, Pennsylvania, USA--1. Streamwater-quality trends coinciding with the return of fish: Mine Water and the Environment 29, 176-199.  (https://doi.org/10.1007/s10230-010-0112-6)</v>
      </c>
    </row>
    <row r="78" spans="1:7" x14ac:dyDescent="0.2">
      <c r="A78" s="5">
        <f t="shared" si="2"/>
        <v>58</v>
      </c>
      <c r="B78" s="1" t="s">
        <v>403</v>
      </c>
      <c r="C78" s="1">
        <v>2010</v>
      </c>
      <c r="D78" s="1" t="s">
        <v>74</v>
      </c>
      <c r="E78" s="1" t="s">
        <v>1</v>
      </c>
      <c r="F78" s="6" t="s">
        <v>14</v>
      </c>
      <c r="G78" s="1" t="str">
        <f t="shared" si="3"/>
        <v>Cravotta, C.A. III, Parkhurst, D.L., Means, B., McKenzie, R., Arthur, W. (2010) Using the computer program AMDTreat with a PHREEQC titration module to compute caustic quantity, effluent quality, and sludge volume: International Mine Water Association 2010 Symposium, Sydney, Nova Scotia, Canada. (http://www.imwa.info/docs/imwa_2010/IMWA2010_CravottaIII_403.pdf)</v>
      </c>
    </row>
    <row r="79" spans="1:7" x14ac:dyDescent="0.2">
      <c r="A79" s="5">
        <f t="shared" si="2"/>
        <v>57</v>
      </c>
      <c r="B79" s="1" t="s">
        <v>411</v>
      </c>
      <c r="C79" s="1">
        <v>2010</v>
      </c>
      <c r="D79" s="1" t="s">
        <v>75</v>
      </c>
      <c r="E79" s="1" t="s">
        <v>412</v>
      </c>
      <c r="F79" s="6" t="s">
        <v>49</v>
      </c>
      <c r="G79" s="1" t="str">
        <f t="shared" si="3"/>
        <v>Cravotta, C.A. III, Parkhurst, D.L., Means, B., McKenzie, R., Morris, H., Arthur, W. (2010) A geochemical module for “AMDTreat” to compute caustic quantity, effluent quality, and sludge volume: Proceedings 2010 National Meeting of the American Society of Mining and Reclamation, Pittsburgh, PA, 1413-1436.  (http://www.asmr.us/Publications/Conference%20Proceedings/2010/papers/1413-Cravotta-PA.pdf)</v>
      </c>
    </row>
    <row r="80" spans="1:7" x14ac:dyDescent="0.2">
      <c r="A80" s="5">
        <f t="shared" si="2"/>
        <v>56</v>
      </c>
      <c r="B80" s="1" t="s">
        <v>413</v>
      </c>
      <c r="C80" s="1">
        <v>2010</v>
      </c>
      <c r="D80" s="1" t="s">
        <v>71</v>
      </c>
      <c r="E80" s="1" t="s">
        <v>414</v>
      </c>
      <c r="F80" s="6" t="s">
        <v>48</v>
      </c>
      <c r="G80" s="1" t="str">
        <f t="shared" si="3"/>
        <v>Sibrell, P.L., Cravotta, C.A. III, Lehman, W.G., Reichert, W. (2010) Utilization of AMD sludges from the anthracite region of Pennsylvania for removal of phosphorus from wastewater: Proceedings 2010 National Meeting of the American Society of Mining and Reclamation, Pittsburgh, PA, 1085-1100.  (http://www.asmr.us/Publications/Conference%20Proceedings/2010/papers/1085-Sibrell-WV.pdf)</v>
      </c>
    </row>
    <row r="81" spans="1:7" x14ac:dyDescent="0.2">
      <c r="A81" s="5">
        <f t="shared" si="2"/>
        <v>55</v>
      </c>
      <c r="B81" s="1" t="s">
        <v>415</v>
      </c>
      <c r="C81" s="1">
        <v>2009</v>
      </c>
      <c r="D81" s="1" t="s">
        <v>70</v>
      </c>
      <c r="E81" s="1" t="s">
        <v>416</v>
      </c>
      <c r="F81" s="6" t="s">
        <v>15</v>
      </c>
      <c r="G81" s="1" t="str">
        <f t="shared" si="3"/>
        <v>Hammarstrom, J.M., Cravotta, C.A. III, Galeone, D., Jackson, J.J., Dulong, F. (2009) Characterization of rock samples and mineralogical controls on leachates: Hornberger, R.J., and Brady, K.B.C., eds., The development and interpretation of the ADTI-WP2 leaching column method (kinetic test procedure for the prediction of coal mine drainage quality) EPA method 1627: U.S. Office of Surface Mining Reclamation and Enforcement CT-5-30040, 61-111, plus appendices 5.1, 5.2, and 5.3.  (http://www.techtransfer.osmre.gov/NTTMainSite/AppliedScience/2005appscience/CompletedProjects/PAKineticTest/Chapters/Chapter%205.pdf)</v>
      </c>
    </row>
    <row r="82" spans="1:7" x14ac:dyDescent="0.2">
      <c r="A82" s="5">
        <f t="shared" si="2"/>
        <v>54</v>
      </c>
      <c r="B82" s="1" t="s">
        <v>66</v>
      </c>
      <c r="C82" s="1">
        <v>2008</v>
      </c>
      <c r="D82" s="1" t="s">
        <v>43</v>
      </c>
      <c r="E82" s="1" t="s">
        <v>417</v>
      </c>
      <c r="F82" s="6" t="s">
        <v>227</v>
      </c>
      <c r="G82" s="1" t="str">
        <f t="shared" si="3"/>
        <v>Cravotta, C.A. III  (2008) Dissolved metals and associated constituents in abandoned coal-mine discharges, Pennsylvania, USA--1. Constituent concentrations and correlations: Applied Geochemistry 23, 166-202.  (https://doi.org/10.1016/j.apgeochem.2007.10.011)</v>
      </c>
    </row>
    <row r="83" spans="1:7" x14ac:dyDescent="0.2">
      <c r="A83" s="5">
        <f t="shared" si="2"/>
        <v>53</v>
      </c>
      <c r="B83" s="1" t="s">
        <v>66</v>
      </c>
      <c r="C83" s="1">
        <v>2008</v>
      </c>
      <c r="D83" s="1" t="s">
        <v>69</v>
      </c>
      <c r="E83" s="1" t="s">
        <v>418</v>
      </c>
      <c r="F83" s="6" t="s">
        <v>230</v>
      </c>
      <c r="G83" s="1" t="str">
        <f t="shared" si="3"/>
        <v>Cravotta, C.A. III  (2008) Dissolved metals and associated constituents in abandoned coal-mine discharges, Pennsylvania, USA--2. Geochemical controls on constituent concentrations: Applied Geochemistry 23, 203-226.  (https://doi.org/10.1016/j.apgeochem.2007.10.003)</v>
      </c>
    </row>
    <row r="84" spans="1:7" x14ac:dyDescent="0.2">
      <c r="A84" s="5">
        <f t="shared" si="2"/>
        <v>52</v>
      </c>
      <c r="B84" s="1" t="s">
        <v>66</v>
      </c>
      <c r="C84" s="1">
        <v>2008</v>
      </c>
      <c r="D84" s="1" t="s">
        <v>76</v>
      </c>
      <c r="E84" s="1" t="s">
        <v>419</v>
      </c>
      <c r="F84" s="6" t="s">
        <v>231</v>
      </c>
      <c r="G84" s="1" t="str">
        <f t="shared" si="3"/>
        <v>Cravotta, C.A. III  (2008) Laboratory and field evaluation of a flushable oxic limestone drain for treatment of net-acidic, metal-laden drainage from a flooded anthracite mine, Pennsylvania, USA: Applied Geochemistry 23, 3404-3422.  (https://doi.org/10.1016/j.apgeochem.2008.07.015)</v>
      </c>
    </row>
    <row r="85" spans="1:7" x14ac:dyDescent="0.2">
      <c r="A85" s="5">
        <f t="shared" si="2"/>
        <v>51</v>
      </c>
      <c r="B85" s="1" t="s">
        <v>420</v>
      </c>
      <c r="C85" s="1">
        <v>2008</v>
      </c>
      <c r="D85" s="1" t="s">
        <v>77</v>
      </c>
      <c r="E85" s="1" t="s">
        <v>421</v>
      </c>
      <c r="F85" s="6" t="s">
        <v>35</v>
      </c>
      <c r="G85" s="1" t="str">
        <f t="shared" si="3"/>
        <v>Cravotta, C.A. III, Nantz, J.M. (2008) Quantity and quality of stream water draining mined areas of the upper Schuylkill River basin, Schuylkill County, Pennsylvania, 2005-2007: Proceedings National Meeting of the American Society of Mining and Reclamation, Richmond VA, New Opportunities to Apply Our Science June 14-19, 2008: American Society of Mining and Reclamation, 223-252.  (http://www.asmr.us/Publications/Conference%20Proceedings/2008/0223-Cravotta-PA.pdf)</v>
      </c>
    </row>
    <row r="86" spans="1:7" x14ac:dyDescent="0.2">
      <c r="A86" s="5">
        <f t="shared" si="2"/>
        <v>50</v>
      </c>
      <c r="B86" s="1" t="s">
        <v>422</v>
      </c>
      <c r="C86" s="1">
        <v>2008</v>
      </c>
      <c r="D86" s="1" t="s">
        <v>78</v>
      </c>
      <c r="E86" s="1" t="s">
        <v>423</v>
      </c>
      <c r="F86" s="6" t="s">
        <v>228</v>
      </c>
      <c r="G86" s="1" t="str">
        <f t="shared" si="3"/>
        <v>Cravotta, C.A. III, Ward, S.J. (2008) Downflow limestone beds for treatment of net-acidic, oxic, iron-laden drainage from a flooded anthracite mine, Pennsylvania, USA--Field evaluation: Mine Water and the Environment 27, 67-85. (https://doi.org/10.1007/s10230-008-0029-5)</v>
      </c>
    </row>
    <row r="87" spans="1:7" x14ac:dyDescent="0.2">
      <c r="A87" s="5">
        <f t="shared" si="2"/>
        <v>49</v>
      </c>
      <c r="B87" s="1" t="s">
        <v>424</v>
      </c>
      <c r="C87" s="1">
        <v>2008</v>
      </c>
      <c r="D87" s="1" t="s">
        <v>79</v>
      </c>
      <c r="E87" s="1" t="s">
        <v>425</v>
      </c>
      <c r="F87" s="6" t="s">
        <v>229</v>
      </c>
      <c r="G87" s="1" t="str">
        <f t="shared" si="3"/>
        <v>Cravotta, C.A. III, Ward, S.J., Hammarstrom, J.M. (2008) Downflow limestone beds for treatment of net-acidic, oxic, iron-laden drainage from a flooded anthracite mine, Pennsylvania, USA--Laboratory evaluation: Mine Water and the Environment 27, 86-99. (https://doi.org/10.1007/s10230-008-0031-y)</v>
      </c>
    </row>
    <row r="88" spans="1:7" x14ac:dyDescent="0.2">
      <c r="A88" s="5">
        <f t="shared" si="2"/>
        <v>48</v>
      </c>
      <c r="B88" s="2" t="s">
        <v>426</v>
      </c>
      <c r="C88" s="2">
        <v>2007</v>
      </c>
      <c r="D88" s="2" t="s">
        <v>80</v>
      </c>
      <c r="E88" s="2" t="s">
        <v>2</v>
      </c>
      <c r="F88" s="6" t="s">
        <v>213</v>
      </c>
      <c r="G88" s="1" t="str">
        <f t="shared" si="3"/>
        <v>Chaplin, J.J., Cravotta, C.A. III, Weitzel, J.B., Klemow, K.M. (2007) Effects of historical coal mining and drainage from abandoned mines on streamflow and water quality in Newport and Nanticoke Creeks, Luzerne County, Pennsylvania, 1999-2000: U.S. Geological Survey Scientific Investigations Report 2007-5061, 40 p. (https://doi.org/10.3133/sir20075061)</v>
      </c>
    </row>
    <row r="89" spans="1:7" x14ac:dyDescent="0.2">
      <c r="A89" s="5">
        <f t="shared" si="2"/>
        <v>47</v>
      </c>
      <c r="B89" s="1" t="s">
        <v>66</v>
      </c>
      <c r="C89" s="1">
        <v>2007</v>
      </c>
      <c r="D89" s="1" t="s">
        <v>81</v>
      </c>
      <c r="E89" s="1" t="s">
        <v>427</v>
      </c>
      <c r="F89" s="6" t="s">
        <v>186</v>
      </c>
      <c r="G89" s="1" t="str">
        <f t="shared" si="3"/>
        <v>Cravotta, C.A. III  (2007) Passive aerobic treatment of net-alkaline, iron-laden drainage from a flooded underground anthracite mine, Pennsylvania, USA: Mine Water and the Environment 26, 128-149.  (https://doi.org/10.1007/s10230-007-0002-8)</v>
      </c>
    </row>
    <row r="90" spans="1:7" x14ac:dyDescent="0.2">
      <c r="A90" s="5">
        <f t="shared" si="2"/>
        <v>46</v>
      </c>
      <c r="B90" s="1" t="s">
        <v>66</v>
      </c>
      <c r="C90" s="1">
        <v>2006</v>
      </c>
      <c r="D90" s="1" t="s">
        <v>82</v>
      </c>
      <c r="E90" s="1" t="s">
        <v>428</v>
      </c>
      <c r="F90" s="6" t="s">
        <v>36</v>
      </c>
      <c r="G90" s="1" t="str">
        <f t="shared" si="3"/>
        <v>Cravotta, C.A. III  (2006) Relations among pH, sulfate, and metals concentrations in Anthracite and Bituminous coal-mine discharges: Proceedings 7th ICARD, March 26-30, 2006, St. Louis, Missouri: American Society of Mine Reclamation, 378-404.  (http://www.asmr.us/Publications/Conference%20Proceedings/2006/0378-Cravotta-PA.pdf)</v>
      </c>
    </row>
    <row r="91" spans="1:7" x14ac:dyDescent="0.2">
      <c r="A91" s="5">
        <f t="shared" si="2"/>
        <v>45</v>
      </c>
      <c r="B91" s="2" t="s">
        <v>66</v>
      </c>
      <c r="C91" s="2">
        <v>2005</v>
      </c>
      <c r="D91" s="2" t="s">
        <v>83</v>
      </c>
      <c r="E91" s="2" t="s">
        <v>3</v>
      </c>
      <c r="F91" s="6" t="s">
        <v>212</v>
      </c>
      <c r="G91" s="1" t="str">
        <f t="shared" si="3"/>
        <v>Cravotta, C.A. III  (2005) Assessment of characteristics and remedial alternatives for abandoned mine drainage : case study at Staple Bend Tunnel Unit of Allegheny Portage Railroad National Historic Site, Cambria County, Pennsylvania, 2004: U.S. Geological Survey Open-File Report 2005-1283, 52 p.  (https://doi.org/10.3133/ofr20051283)</v>
      </c>
    </row>
    <row r="92" spans="1:7" x14ac:dyDescent="0.2">
      <c r="A92" s="5">
        <f t="shared" si="2"/>
        <v>44</v>
      </c>
      <c r="B92" s="2" t="s">
        <v>66</v>
      </c>
      <c r="C92" s="2">
        <v>2005</v>
      </c>
      <c r="D92" s="2" t="s">
        <v>84</v>
      </c>
      <c r="E92" s="2" t="s">
        <v>4</v>
      </c>
      <c r="F92" s="6" t="s">
        <v>210</v>
      </c>
      <c r="G92" s="1" t="str">
        <f t="shared" si="3"/>
        <v>Cravotta, C.A. III  (2005) Effects of abandoned coal-mine drainage on streamflow and water quality in the Mahanoy Creek Basin, Schuylkill, Columbia, and Northumberland Counties, Pennsylvania, 2001: U.S. Geological Survey Scientific Investigations Report 2004-5291, 60 p., plus 4 appendixes.  (https://doi.org/10.3133/sir20045291)</v>
      </c>
    </row>
    <row r="93" spans="1:7" x14ac:dyDescent="0.2">
      <c r="A93" s="5">
        <f t="shared" si="2"/>
        <v>43</v>
      </c>
      <c r="B93" s="1" t="s">
        <v>429</v>
      </c>
      <c r="C93" s="1">
        <v>2005</v>
      </c>
      <c r="D93" s="1" t="s">
        <v>85</v>
      </c>
      <c r="E93" s="1" t="s">
        <v>430</v>
      </c>
      <c r="F93" s="6" t="s">
        <v>431</v>
      </c>
      <c r="G93" s="1" t="str">
        <f t="shared" si="3"/>
        <v>Guangcai, Wang, Zuochen, Z., Min, W., Cravotta, C.A. III, Chenglong, L. (2005) Implications of ground water chemistry and flow patterns for earthquake studies: Ground Water 43, 478-484.  (https://doi.org/10.1111/j.1745-6584.2005.0037.x)</v>
      </c>
    </row>
    <row r="94" spans="1:7" x14ac:dyDescent="0.2">
      <c r="A94" s="5">
        <f t="shared" ref="A94:A133" si="4">1+A95</f>
        <v>42</v>
      </c>
      <c r="B94" s="2" t="s">
        <v>432</v>
      </c>
      <c r="C94" s="2">
        <v>2005</v>
      </c>
      <c r="D94" s="2" t="s">
        <v>86</v>
      </c>
      <c r="E94" s="2" t="s">
        <v>5</v>
      </c>
      <c r="F94" s="6" t="s">
        <v>211</v>
      </c>
      <c r="G94" s="1" t="str">
        <f t="shared" si="3"/>
        <v>Hammarstrom, J.M., Brady, K.B.C., Cravotta, C.A. III  (2005) Acid-rock drainage at Skytop, Centre County, Pennsylvania, 2004: U.S. Geological Survey Open-File Report 2005-1148, 45 p.  (https://doi.org/10.3133/ofr20051148)</v>
      </c>
    </row>
    <row r="95" spans="1:7" x14ac:dyDescent="0.2">
      <c r="A95" s="5">
        <f t="shared" si="4"/>
        <v>41</v>
      </c>
      <c r="B95" s="1" t="s">
        <v>433</v>
      </c>
      <c r="C95" s="1">
        <v>2005</v>
      </c>
      <c r="D95" s="1" t="s">
        <v>31</v>
      </c>
      <c r="E95" s="1" t="s">
        <v>434</v>
      </c>
      <c r="F95" s="6" t="s">
        <v>187</v>
      </c>
      <c r="G95" s="1" t="str">
        <f t="shared" si="3"/>
        <v>Kirby, C.S., Cravotta, C.A. III  (2005) Net alkalinity and net acidity 1: Theoretical considerations: Applied Geochemistry 20, 1920-1940.  (https://doi.org/10.1016/j.apgeochem.2005.07.002)</v>
      </c>
    </row>
    <row r="96" spans="1:7" x14ac:dyDescent="0.2">
      <c r="A96" s="5">
        <f t="shared" si="4"/>
        <v>40</v>
      </c>
      <c r="B96" s="1" t="s">
        <v>433</v>
      </c>
      <c r="C96" s="1">
        <v>2005</v>
      </c>
      <c r="D96" s="1" t="s">
        <v>32</v>
      </c>
      <c r="E96" s="1" t="s">
        <v>435</v>
      </c>
      <c r="F96" s="6" t="s">
        <v>188</v>
      </c>
      <c r="G96" s="1" t="str">
        <f t="shared" si="3"/>
        <v>Kirby, C.S., Cravotta, C.A. III  (2005) Net alkalinity and net acidity 2: Practical considerations: Applied Geochemistry 20, 1941-1964.  (https://doi.org/10.1016/j.apgeochem.2005.07.003)</v>
      </c>
    </row>
    <row r="97" spans="1:7" x14ac:dyDescent="0.2">
      <c r="A97" s="5">
        <f t="shared" si="4"/>
        <v>39</v>
      </c>
      <c r="B97" s="1" t="s">
        <v>436</v>
      </c>
      <c r="C97" s="1">
        <v>2004</v>
      </c>
      <c r="D97" s="1" t="s">
        <v>87</v>
      </c>
      <c r="E97" s="1" t="s">
        <v>437</v>
      </c>
      <c r="F97" s="6" t="s">
        <v>38</v>
      </c>
      <c r="G97" s="1" t="str">
        <f t="shared" si="3"/>
        <v>Cravotta, C.A. III, Kirby, C.S. (2004) Acidity and alkalinity in mine drainage--practical considerations: Proceedings 2004 National Meeting of the American Society of Mining and Reclamation and the 25th West Virginia Surface Mine Drainage Task Force, April 18-24, 2004: American Society of Mine Reclamation, 334-365.  (http://www.asmr.us/Publications/Conference%20Proceedings/2004/0334-Cravotta%20PA-1.pdf)</v>
      </c>
    </row>
    <row r="98" spans="1:7" x14ac:dyDescent="0.2">
      <c r="A98" s="5">
        <f t="shared" si="4"/>
        <v>38</v>
      </c>
      <c r="B98" s="2" t="s">
        <v>436</v>
      </c>
      <c r="C98" s="2">
        <v>2004</v>
      </c>
      <c r="D98" s="2" t="s">
        <v>88</v>
      </c>
      <c r="E98" s="2" t="s">
        <v>6</v>
      </c>
      <c r="F98" s="6" t="s">
        <v>209</v>
      </c>
      <c r="G98" s="1" t="str">
        <f t="shared" si="3"/>
        <v>Cravotta, C.A. III, Kirby, C.S. (2004) Effects of abandoned coal-mine drainage on streamflow and water quality in the Shamokin Creek Basin, Northumberland and Columbia Counties, Pennsylvania, 1999-2001: U.S. Geological Survey Water-Resources Investigations Report 03-4311, 58 p.  (https://doi.org/10.3133/wri034311)</v>
      </c>
    </row>
    <row r="99" spans="1:7" x14ac:dyDescent="0.2">
      <c r="A99" s="5">
        <f t="shared" si="4"/>
        <v>37</v>
      </c>
      <c r="B99" s="1" t="s">
        <v>438</v>
      </c>
      <c r="C99" s="1">
        <v>2004</v>
      </c>
      <c r="D99" s="1" t="s">
        <v>89</v>
      </c>
      <c r="E99" s="1" t="s">
        <v>439</v>
      </c>
      <c r="F99" s="6" t="s">
        <v>37</v>
      </c>
      <c r="G99" s="1" t="str">
        <f t="shared" si="3"/>
        <v>Cravotta, C.A. III, Ward, S.J., Koury, D.J., Koch, R.D. (2004) Optimization of limestone drains for long- term treatment of acidic mine drainage, Swatara Creek Basin, Schuylkill County, PA: Proceedings 2004 National Meeting of the American Society of Mining and Reclamation and the 25th West Virginia Surface Mine Drainage Task Force, April 18-24, 2004: American Society of Mine Reclamation, 366-411.  (http://www.asmr.us/Publications/Conference%20Proceedings/2004/0366-Cravotta%20PA-2.pdf)</v>
      </c>
    </row>
    <row r="100" spans="1:7" x14ac:dyDescent="0.2">
      <c r="A100" s="5">
        <f t="shared" si="4"/>
        <v>36</v>
      </c>
      <c r="B100" s="1" t="s">
        <v>433</v>
      </c>
      <c r="C100" s="1">
        <v>2004</v>
      </c>
      <c r="D100" s="1" t="s">
        <v>90</v>
      </c>
      <c r="E100" s="1" t="s">
        <v>440</v>
      </c>
      <c r="F100" s="6" t="s">
        <v>40</v>
      </c>
      <c r="G100" s="1" t="str">
        <f t="shared" si="3"/>
        <v>Kirby, C.S., Cravotta, C.A. III  (2004) Acidity and alkalinity in mine drainage--theoretical considerations: Proceedings 2004 National Meeting of the American Society of Mining and Reclamation and the 25th West Virginia Surface Mine Drainage Task Force, April 18-24, 2004: American Society of Mine Reclamation, 1076-1093.  (http://www.asmr.us/Publications/Conference%20Proceedings/2004/1076-Kirby%20PA.pdf)</v>
      </c>
    </row>
    <row r="101" spans="1:7" x14ac:dyDescent="0.2">
      <c r="A101" s="5">
        <f t="shared" si="4"/>
        <v>35</v>
      </c>
      <c r="B101" s="1" t="s">
        <v>66</v>
      </c>
      <c r="C101" s="1">
        <v>2003</v>
      </c>
      <c r="D101" s="1" t="s">
        <v>91</v>
      </c>
      <c r="E101" s="1" t="s">
        <v>441</v>
      </c>
      <c r="F101" s="6" t="s">
        <v>153</v>
      </c>
      <c r="G101" s="1" t="str">
        <f t="shared" si="3"/>
        <v>Cravotta, C.A. III  (2003) Size and performance of anoxic limestone drains to neutralize acidic mine drainage: Journal of Environmental Quality 32, 1277-1289.  (https://doi.org/10.2134/jeq2003.1277)</v>
      </c>
    </row>
    <row r="102" spans="1:7" x14ac:dyDescent="0.2">
      <c r="A102" s="5">
        <f t="shared" si="4"/>
        <v>34</v>
      </c>
      <c r="B102" s="1" t="s">
        <v>442</v>
      </c>
      <c r="C102" s="1">
        <v>2003</v>
      </c>
      <c r="D102" s="1" t="s">
        <v>93</v>
      </c>
      <c r="E102" s="1" t="s">
        <v>443</v>
      </c>
      <c r="F102" s="6" t="s">
        <v>189</v>
      </c>
      <c r="G102" s="1" t="str">
        <f t="shared" si="3"/>
        <v>Cravotta, C.A. III, Watzlaf, G.R. (2003) Design and performance of limestone drains to increase pH and remove metals from acidic mine drainage: Naftz, D.L., Morrison, S.J., Fuller, C.C., and Davis, J.A., eds., Handbook of groundwater remediation using permeable reactive barriers--Application to radionuclides, trace metals, and nutrients: San Diego, Ca., Academic Press, 19-66.  (https://doi.org/10.1016/B978-012513563-4/50006-2)</v>
      </c>
    </row>
    <row r="103" spans="1:7" x14ac:dyDescent="0.2">
      <c r="A103" s="5">
        <f t="shared" si="4"/>
        <v>33</v>
      </c>
      <c r="B103" s="1" t="s">
        <v>66</v>
      </c>
      <c r="C103" s="1">
        <v>2002</v>
      </c>
      <c r="D103" s="1" t="s">
        <v>92</v>
      </c>
      <c r="E103" s="1" t="s">
        <v>444</v>
      </c>
      <c r="F103" s="6" t="s">
        <v>41</v>
      </c>
      <c r="G103" s="1" t="str">
        <f t="shared" si="3"/>
        <v>Cravotta, C.A. III  (2002) New method to estimate longevity of anoxic limestone drains : Proceedings 19th Annual Meeting of American Society of Mining &amp; Reclamation, Lexington, Kentucky, June 9-13, 2002: American Society of Mining &amp; Reclamation, 1062-1064.  (http://www.asmr.us/Publications/Conference%20Proceedings/2002/1062%20Cravotta.pdf)</v>
      </c>
    </row>
    <row r="104" spans="1:7" x14ac:dyDescent="0.2">
      <c r="A104" s="5">
        <f t="shared" si="4"/>
        <v>32</v>
      </c>
      <c r="B104" s="1" t="s">
        <v>445</v>
      </c>
      <c r="C104" s="1">
        <v>2002</v>
      </c>
      <c r="D104" s="1" t="s">
        <v>94</v>
      </c>
      <c r="E104" s="1" t="s">
        <v>446</v>
      </c>
      <c r="F104" s="6" t="s">
        <v>42</v>
      </c>
      <c r="G104" s="1" t="str">
        <f t="shared" si="3"/>
        <v>Cravotta, C.A. III, Bilger, M.D., Brightbill, R.A., Bogar, D. (2002) Restoration and monitoring of aquatic quality in a coal-mined watershed, Swatara Creek at Ravine, Pennsylvania : Proceedings 19th Annual Meeting of American Society of Mining &amp; Reclamation, Lexington, Kentucky, June 9- 13, 2002: American Society of Mining &amp; Reclamation, 1061.  (http://www.asmr.us/Publications/Conference%20Proceedings/2002/1059%20Cravotta.pdf)</v>
      </c>
    </row>
    <row r="105" spans="1:7" x14ac:dyDescent="0.2">
      <c r="A105" s="5">
        <f t="shared" si="4"/>
        <v>31</v>
      </c>
      <c r="B105" s="1" t="s">
        <v>447</v>
      </c>
      <c r="C105" s="1">
        <v>2002</v>
      </c>
      <c r="D105" s="1" t="s">
        <v>95</v>
      </c>
      <c r="E105" s="1" t="s">
        <v>448</v>
      </c>
      <c r="F105" s="6" t="s">
        <v>190</v>
      </c>
      <c r="G105" s="1" t="str">
        <f t="shared" si="3"/>
        <v>Williams, D.J., Bigham, J.M., Cravotta, C.A. III, Traina, S.J., Anderson, J.E., Lyon, G. (2002) Assessing mine drainage pH from the color and spectral reflectance of chemical precipitates: Applied Geochemistry 17, 1273-1286. (https://doi.org/10.1016/S0883-29270200019-7)</v>
      </c>
    </row>
    <row r="106" spans="1:7" x14ac:dyDescent="0.2">
      <c r="A106" s="5">
        <f t="shared" si="4"/>
        <v>30</v>
      </c>
      <c r="B106" s="1" t="s">
        <v>449</v>
      </c>
      <c r="C106" s="1">
        <v>2001</v>
      </c>
      <c r="D106" s="1" t="s">
        <v>96</v>
      </c>
      <c r="E106" s="1" t="s">
        <v>450</v>
      </c>
      <c r="F106" s="6" t="s">
        <v>154</v>
      </c>
      <c r="G106" s="1" t="str">
        <f t="shared" si="3"/>
        <v>Cravotta, C.A. III, Bilger, M.D. (2001) Water-quality trends for a coal-mined watershed in Eastern Pennsylvania: Geochemistry, Exploration, Environment, Analysis 1, 33-50.  (https://doi.org/10.1144/geochem.1.1.33)</v>
      </c>
    </row>
    <row r="107" spans="1:7" x14ac:dyDescent="0.2">
      <c r="A107" s="5">
        <f t="shared" si="4"/>
        <v>29</v>
      </c>
      <c r="B107" s="1" t="s">
        <v>451</v>
      </c>
      <c r="C107" s="1">
        <v>2001</v>
      </c>
      <c r="D107" s="1" t="s">
        <v>97</v>
      </c>
      <c r="E107" s="1" t="s">
        <v>7</v>
      </c>
      <c r="F107" s="6" t="s">
        <v>156</v>
      </c>
      <c r="G107" s="1" t="str">
        <f t="shared" si="3"/>
        <v>Cravotta, C.A. III, Weitzel, J.B. (2001) Detecting change in water quality from implementation of limestone treatment systems in a coal-mined watershed, Pennsylvania: Proceedings 8th National Nonpoint Source Monitoring Workshop: U.S. Environmental Protection Agency EPA/905-R-01-008. (https://www.researchgate.net/publication/266277832_DETECTING_CHANGE_IN_WATER_QUALITY_FROM_IMPLEMENTATION_OF_LIMESTONE_TREATMENT_SYSTEMS_IN_A_COAL-MINED_WATERSHED_PENNSYLVANIA)</v>
      </c>
    </row>
    <row r="108" spans="1:7" x14ac:dyDescent="0.2">
      <c r="A108" s="5">
        <f t="shared" si="4"/>
        <v>28</v>
      </c>
      <c r="B108" s="1" t="s">
        <v>66</v>
      </c>
      <c r="C108" s="1">
        <v>2000</v>
      </c>
      <c r="D108" s="1" t="s">
        <v>98</v>
      </c>
      <c r="E108" s="1" t="s">
        <v>452</v>
      </c>
      <c r="F108" s="6" t="s">
        <v>155</v>
      </c>
      <c r="G108" s="1" t="str">
        <f t="shared" si="3"/>
        <v>Cravotta, C.A. III  (2000) Relations among sulfate, metals, sediment, and streamflow data for a stream draining a coal-mined watershed in east-central Pennsylvania: Proceedings Fifth International Conference on Acid Rock Drainage: Littleton, Co., Society for Mining, Metallurgy, and Exploration, Inc. 1, 401-410. (http://www.gbv.de/dms/tib-ub-hannover/317652273.pdf)</v>
      </c>
    </row>
    <row r="109" spans="1:7" x14ac:dyDescent="0.2">
      <c r="A109" s="5">
        <f t="shared" si="4"/>
        <v>27</v>
      </c>
      <c r="B109" s="1" t="s">
        <v>453</v>
      </c>
      <c r="C109" s="1">
        <v>2000</v>
      </c>
      <c r="D109" s="1" t="s">
        <v>100</v>
      </c>
      <c r="E109" s="1" t="s">
        <v>454</v>
      </c>
      <c r="F109" s="6" t="s">
        <v>155</v>
      </c>
      <c r="G109" s="1" t="str">
        <f t="shared" si="3"/>
        <v>Robbins, E.I., Anderson, J.E., Cravotta, C.A. III, Nord, G.L., Jr., Slonecker, E.T. (2000) Multispectral signature variations in acidic versus near-neutral contaminated coal mine drainage in Pennsylvania: Proceedings Fifth International Conference on Acid Rock Drainage: Littleton, Co., Society for Mining, Metallurgy, and Exploration, Inc. 2, 1551-1559.  (http://www.gbv.de/dms/tib-ub-hannover/317652273.pdf)</v>
      </c>
    </row>
    <row r="110" spans="1:7" x14ac:dyDescent="0.2">
      <c r="A110" s="5">
        <f t="shared" si="4"/>
        <v>26</v>
      </c>
      <c r="B110" s="1" t="s">
        <v>455</v>
      </c>
      <c r="C110" s="1">
        <v>2000</v>
      </c>
      <c r="D110" s="1" t="s">
        <v>222</v>
      </c>
      <c r="E110" s="1" t="s">
        <v>456</v>
      </c>
      <c r="F110" s="6" t="s">
        <v>62</v>
      </c>
      <c r="G110" s="1" t="str">
        <f t="shared" si="3"/>
        <v>Cravotta, C.A. III, Hilgar, G.M. (2000) Considerations for chemical monitoring at coal mines: Acid Drainage Technology Initiative, Morgantown, W.V., National Mine Land Reclamation Center, 195-218.  (http://www.techtransfer.osmre.gov/NTTMainSite/Library/hbmanual/predictH2O/appendixA.pdf)</v>
      </c>
    </row>
    <row r="111" spans="1:7" x14ac:dyDescent="0.2">
      <c r="A111" s="5">
        <f t="shared" si="4"/>
        <v>25</v>
      </c>
      <c r="B111" s="1" t="s">
        <v>457</v>
      </c>
      <c r="C111" s="1">
        <v>2000</v>
      </c>
      <c r="D111" s="1" t="s">
        <v>99</v>
      </c>
      <c r="E111" s="1" t="s">
        <v>458</v>
      </c>
      <c r="G111" s="1" t="str">
        <f t="shared" si="3"/>
        <v>Landa, E.R., Cravotta, C.A. III, Naftz, D.L., Verplanck, P.L., Nordstrom, D.K.,Zielinski, R.A. (2000) Geochemical investigations by the U.S. Geological Survey on uranium mining, milling, and environmental restoration: Gesell, T.F., and Simon, S.L., eds., Environmental exposure--Fact versus fiction: Technology 7, nos. 2-4, 381-396.  ()</v>
      </c>
    </row>
    <row r="112" spans="1:7" x14ac:dyDescent="0.2">
      <c r="A112" s="5">
        <f t="shared" si="4"/>
        <v>24</v>
      </c>
      <c r="B112" s="1" t="s">
        <v>459</v>
      </c>
      <c r="C112" s="1">
        <v>1999</v>
      </c>
      <c r="D112" s="1" t="s">
        <v>221</v>
      </c>
      <c r="E112" s="1" t="s">
        <v>460</v>
      </c>
      <c r="F112" s="6" t="s">
        <v>461</v>
      </c>
      <c r="G112" s="1" t="str">
        <f t="shared" si="3"/>
        <v>Cravotta, C.A. III, Trahan, M.K. (1999) Limestone drains to increase pH and remove dissolved metals from acidic mine drainage: Applied Geochemistry 14, no. 5, 581-606. (https://doi.org/10.1016/S0883-29279800066-3)</v>
      </c>
    </row>
    <row r="113" spans="1:7" x14ac:dyDescent="0.2">
      <c r="A113" s="5">
        <f t="shared" si="4"/>
        <v>23</v>
      </c>
      <c r="B113" s="1" t="s">
        <v>462</v>
      </c>
      <c r="C113" s="1">
        <v>1999</v>
      </c>
      <c r="D113" s="1" t="s">
        <v>101</v>
      </c>
      <c r="E113" s="1" t="s">
        <v>463</v>
      </c>
      <c r="F113" s="3" t="s">
        <v>240</v>
      </c>
      <c r="G113" s="1" t="str">
        <f t="shared" si="3"/>
        <v>Cravotta, C.A. III, Brady, K.B.C., Rose, A.W., Douds, J.B. (1999) Frequency distribution of the pH of coal-mine drainage in Pennsylvania: Morganwalp, D.W., and Buxton, H., eds., U.S. Geological Survey Toxic Substances Hydrology Program--Proceedings Technical Meeting, Charleston, South Carolina, March 8-12, 1999: U.S. Geological Survey Water-Resources Investigations Report 99- 4018A, 313-324.  (https://doi.org/10.3133/wri994018A)</v>
      </c>
    </row>
    <row r="114" spans="1:7" x14ac:dyDescent="0.2">
      <c r="A114" s="5">
        <f t="shared" si="4"/>
        <v>22</v>
      </c>
      <c r="B114" s="1" t="s">
        <v>464</v>
      </c>
      <c r="C114" s="1">
        <v>1999</v>
      </c>
      <c r="D114" s="1" t="s">
        <v>99</v>
      </c>
      <c r="E114" s="1" t="s">
        <v>8</v>
      </c>
      <c r="G114" s="1" t="str">
        <f t="shared" si="3"/>
        <v>Landa, E.R., Cravotta, C.A. III, Naftz, D.L., Verplanck, P.L., Nordstrom, D.K., Zielinski, R.A. (1999) Geochemical investigations by the U.S. Geological Survey on uranium mining, milling, and environmental restoration: Hylko, J.M., and Salyer, R.L., eds., Health Physics Society Proceedings- -Creation and future legacy of stockpile stewardship: Madison, Wisc., Medical Physics Publishing, 215- 220. ()</v>
      </c>
    </row>
    <row r="115" spans="1:7" x14ac:dyDescent="0.2">
      <c r="A115" s="5">
        <f t="shared" si="4"/>
        <v>21</v>
      </c>
      <c r="B115" s="1" t="s">
        <v>465</v>
      </c>
      <c r="C115" s="1">
        <v>1999</v>
      </c>
      <c r="D115" s="1" t="s">
        <v>102</v>
      </c>
      <c r="E115" s="1" t="s">
        <v>466</v>
      </c>
      <c r="F115" s="6" t="s">
        <v>191</v>
      </c>
      <c r="G115" s="1" t="str">
        <f t="shared" si="3"/>
        <v>Robbins, E.I., Cravotta, C.A. III, Savela, C.E., Nord, G.L., Jr. (1999) Hydrobiogeochemical interactions in “anoxic” limestone drains for neutralization of acidic mine drainage: Fuel 78, 259-270.  (https://doi.org/10.1016/S0016-23619800147-1)</v>
      </c>
    </row>
    <row r="116" spans="1:7" x14ac:dyDescent="0.2">
      <c r="A116" s="5">
        <f t="shared" si="4"/>
        <v>20</v>
      </c>
      <c r="B116" s="1" t="s">
        <v>66</v>
      </c>
      <c r="C116" s="1">
        <v>1998</v>
      </c>
      <c r="D116" s="1" t="s">
        <v>103</v>
      </c>
      <c r="E116" s="1" t="s">
        <v>467</v>
      </c>
      <c r="F116" s="6" t="s">
        <v>21</v>
      </c>
      <c r="G116" s="1" t="str">
        <f t="shared" si="3"/>
        <v>Cravotta, C.A. III  (1998) Effect of sewage sludge on formation of acidic ground water at a reclaimed coal mine: Ground Water 36, no. 1, 9-19. (http://www.ngwa.org/gwol/980663203.aspx)</v>
      </c>
    </row>
    <row r="117" spans="1:7" x14ac:dyDescent="0.2">
      <c r="A117" s="5">
        <f t="shared" si="4"/>
        <v>19</v>
      </c>
      <c r="B117" s="1" t="s">
        <v>66</v>
      </c>
      <c r="C117" s="1">
        <v>1998</v>
      </c>
      <c r="D117" s="1" t="s">
        <v>104</v>
      </c>
      <c r="E117" s="1" t="s">
        <v>9</v>
      </c>
      <c r="F117" s="6" t="s">
        <v>16</v>
      </c>
      <c r="G117" s="1" t="str">
        <f t="shared" si="3"/>
        <v>Cravotta, C.A. III  (1998) Oxic limestone drains for treatment of dilute, acidic mine drainage: Proceedings 19th Annual Meeting West Virginia Surface Mine Drainage Task Force: Morgantown, W.Va., West Virginia University, 25 p.  (http://wvmdtaskforce.com/proceedings/98/98CRA/98CRA.HTM)</v>
      </c>
    </row>
    <row r="118" spans="1:7" x14ac:dyDescent="0.2">
      <c r="A118" s="5">
        <f t="shared" si="4"/>
        <v>18</v>
      </c>
      <c r="B118" s="1" t="s">
        <v>468</v>
      </c>
      <c r="C118" s="1">
        <v>1998</v>
      </c>
      <c r="D118" s="1" t="s">
        <v>105</v>
      </c>
      <c r="E118" s="1" t="s">
        <v>469</v>
      </c>
      <c r="F118" s="6" t="s">
        <v>51</v>
      </c>
      <c r="G118" s="1" t="str">
        <f t="shared" si="3"/>
        <v>Rose, A.W., Cravotta, C.A. III  (1998) Geochemistry of coal-mine drainage: Brady, K.B.C., Smith, M.W., and Schueck, J., eds., Coal Mine Drainage Prediction and Pollution Prevention in Pennsylvania: Harrisburg, Pa., Pennsylvania Department of Environmental Protection, 5600-BK-DEP2256, 1.1- 1.22  (http://files.dep.state.pa.us/Mining/BureauOfMiningPrograms/BMPPortalFiles/Coal_Mine_Drainage_Prediction_and_Pollution_Prevention_in_Pennsylvania.pdf)</v>
      </c>
    </row>
    <row r="119" spans="1:7" x14ac:dyDescent="0.2">
      <c r="A119" s="5">
        <f t="shared" si="4"/>
        <v>17</v>
      </c>
      <c r="B119" s="1" t="s">
        <v>66</v>
      </c>
      <c r="C119" s="1">
        <v>1997</v>
      </c>
      <c r="D119" s="1" t="s">
        <v>106</v>
      </c>
      <c r="E119" s="1" t="s">
        <v>470</v>
      </c>
      <c r="G119" s="1" t="str">
        <f t="shared" si="3"/>
        <v>Cravotta, C.A. III  (1997) Water: Marcus, J.J., ed., Mining Environmental Handbook: London, Imperial College Press, Chapter 12, Section 12.3.2, 582-583.  ()</v>
      </c>
    </row>
    <row r="120" spans="1:7" x14ac:dyDescent="0.2">
      <c r="A120" s="5">
        <f t="shared" si="4"/>
        <v>16</v>
      </c>
      <c r="B120" s="2" t="s">
        <v>66</v>
      </c>
      <c r="C120" s="2">
        <v>1997</v>
      </c>
      <c r="D120" s="2" t="s">
        <v>107</v>
      </c>
      <c r="E120" s="2" t="s">
        <v>10</v>
      </c>
      <c r="F120" s="6" t="s">
        <v>192</v>
      </c>
      <c r="G120" s="1" t="str">
        <f t="shared" si="3"/>
        <v>Cravotta, C.A. III  (1997) Use of stable isotopes of carbon, nitrogen, and sulfur to identify sources of nitrogen in surface waters in the lower Susquehanna River Basin, Pennsylvania: U.S. Geological Survey Water-Supply Paper 2497, 99 p.  (https://doi.org/10.3133/wsp2497)</v>
      </c>
    </row>
    <row r="121" spans="1:7" x14ac:dyDescent="0.2">
      <c r="A121" s="5">
        <f t="shared" si="4"/>
        <v>15</v>
      </c>
      <c r="B121" s="1" t="s">
        <v>471</v>
      </c>
      <c r="C121" s="1">
        <v>1997</v>
      </c>
      <c r="D121" s="1" t="s">
        <v>108</v>
      </c>
      <c r="E121" s="1" t="s">
        <v>472</v>
      </c>
      <c r="G121" s="1" t="str">
        <f t="shared" si="3"/>
        <v>Robbins, E.I., Cravotta, C.A. III, Savela, C.E., Nord, G.L., Jr., Balciauskas, K.A., Belkin, H.E. (1997) Hydrobiogeochemical interactions on calcite and gypsum in “anoxic” limestone drains in West Virginia and Pennsylvania: International Ash Utilization Symposium, 546-559.  ()</v>
      </c>
    </row>
    <row r="122" spans="1:7" x14ac:dyDescent="0.2">
      <c r="A122" s="5">
        <f t="shared" si="4"/>
        <v>14</v>
      </c>
      <c r="B122" s="1" t="s">
        <v>459</v>
      </c>
      <c r="C122" s="1">
        <v>1996</v>
      </c>
      <c r="D122" s="1" t="s">
        <v>109</v>
      </c>
      <c r="E122" s="1" t="s">
        <v>473</v>
      </c>
      <c r="F122" s="6" t="s">
        <v>39</v>
      </c>
      <c r="G122" s="1" t="str">
        <f t="shared" si="3"/>
        <v>Cravotta, C.A. III, Trahan, M.K. (1996) Limestone drains to increase pH and remove dissolved metals from an acidic coal-mine discharge in Pennsylvania: Proceedings 13th Annual Meeting of the American Society for Surface Mining and Reclamation, Knoxville, TN, May 19-25, 1996, 836-840.  (http://www.asmr.us/Publications/Conference%20Proceedings/1996/ASSMR96.pdf)</v>
      </c>
    </row>
    <row r="123" spans="1:7" x14ac:dyDescent="0.2">
      <c r="A123" s="5">
        <f t="shared" si="4"/>
        <v>13</v>
      </c>
      <c r="B123" s="1" t="s">
        <v>474</v>
      </c>
      <c r="C123" s="1">
        <v>1996</v>
      </c>
      <c r="D123" s="1" t="s">
        <v>110</v>
      </c>
      <c r="E123" s="1" t="s">
        <v>475</v>
      </c>
      <c r="F123" s="6" t="s">
        <v>39</v>
      </c>
      <c r="G123" s="1" t="str">
        <f t="shared" si="3"/>
        <v>Guo, W., Cravotta, C.A. III  (1996) Oxygen transport and pyrite oxidation in unsaturated coal-mine spoil: Proceedings 13th Annual Meeting of the American Society for Surface Mining and Reclamation, Knoxville, TN, May 19-25, 1996, 3-14.  (http://www.asmr.us/Publications/Conference%20Proceedings/1996/ASSMR96.pdf)</v>
      </c>
    </row>
    <row r="124" spans="1:7" x14ac:dyDescent="0.2">
      <c r="A124" s="5">
        <f t="shared" si="4"/>
        <v>12</v>
      </c>
      <c r="B124" s="1" t="s">
        <v>476</v>
      </c>
      <c r="C124" s="1">
        <v>1996</v>
      </c>
      <c r="D124" s="1" t="s">
        <v>111</v>
      </c>
      <c r="E124" s="1" t="s">
        <v>477</v>
      </c>
      <c r="G124" s="1" t="str">
        <f t="shared" si="3"/>
        <v>Robbins, E.I., Anderson, J.E., Cravotta, C.A. III, Koury, D.J., Podwysocki, M.H., Stanton, M.R., Growitz, D.J. (1996) Development and preliminary testing of microbial and spectral reflectance techniques to distinguish neutral from acidic drainages: Chiang, S.-H., ed., Proceedings 13th Annual International Pittsburgh Coal Conference 2, 768-775. ()</v>
      </c>
    </row>
    <row r="125" spans="1:7" x14ac:dyDescent="0.2">
      <c r="A125" s="5">
        <f t="shared" si="4"/>
        <v>11</v>
      </c>
      <c r="B125" s="1" t="s">
        <v>478</v>
      </c>
      <c r="C125" s="1">
        <v>1995</v>
      </c>
      <c r="D125" s="1" t="s">
        <v>112</v>
      </c>
      <c r="E125" s="1" t="s">
        <v>479</v>
      </c>
      <c r="F125" s="6" t="s">
        <v>22</v>
      </c>
      <c r="G125" s="1" t="str">
        <f t="shared" si="3"/>
        <v>Baedecker, M.J., Back, William, Cravotta, C.A. III  (1995) Consequences of energy use on water quality: Carter, L.M.H., ed., Energy and the environment--application of geosciences to decision making: U.S. Geological Survey Circular 1108, 34-36. (http://onlinepubs.er.usgs.gov/djvu/CIR/circ_1108.djvu)</v>
      </c>
    </row>
    <row r="126" spans="1:7" x14ac:dyDescent="0.2">
      <c r="A126" s="5">
        <f t="shared" si="4"/>
        <v>10</v>
      </c>
      <c r="B126" s="2" t="s">
        <v>66</v>
      </c>
      <c r="C126" s="2">
        <v>1995</v>
      </c>
      <c r="D126" s="2" t="s">
        <v>113</v>
      </c>
      <c r="E126" s="2" t="s">
        <v>11</v>
      </c>
      <c r="F126" s="6" t="s">
        <v>215</v>
      </c>
      <c r="G126" s="1" t="str">
        <f t="shared" si="3"/>
        <v>Cravotta, C.A. III  (1995) Use of stable carbon, nitrogen, and sulfur isotopes to identify sources of nitrogen in surface waters in the lower Susquehanna River Basin, Pennsylvania: U.S. Geological Survey Open- File Report 94-510, 103 p. (https://doi.org/10.3133/ofr94510)</v>
      </c>
    </row>
    <row r="127" spans="1:7" x14ac:dyDescent="0.2">
      <c r="A127" s="5">
        <f t="shared" si="4"/>
        <v>9</v>
      </c>
      <c r="B127" s="1" t="s">
        <v>66</v>
      </c>
      <c r="C127" s="1">
        <v>1994</v>
      </c>
      <c r="D127" s="1" t="s">
        <v>114</v>
      </c>
      <c r="E127" s="1" t="s">
        <v>480</v>
      </c>
      <c r="F127" s="6" t="s">
        <v>17</v>
      </c>
      <c r="G127" s="1" t="str">
        <f t="shared" si="3"/>
        <v>Cravotta, C.A. III  (1994) Secondary iron-sulfate minerals as sources of sulfate and acidity: Alpers, C.N., and Blowes, D.W., eds., Environmental geochemistry of sulfide oxidation: Washington, D.C., American Chemical Society Symposium Series 550, 345-364.  (http://pubs.acs.org/doi/pdf/10.1021/bk-1994-0550.ch023)</v>
      </c>
    </row>
    <row r="128" spans="1:7" x14ac:dyDescent="0.2">
      <c r="A128" s="5">
        <f t="shared" si="4"/>
        <v>8</v>
      </c>
      <c r="B128" s="1" t="s">
        <v>481</v>
      </c>
      <c r="C128" s="1">
        <v>1994</v>
      </c>
      <c r="D128" s="1" t="s">
        <v>115</v>
      </c>
      <c r="E128" s="1" t="s">
        <v>482</v>
      </c>
      <c r="F128" s="6" t="s">
        <v>23</v>
      </c>
      <c r="G128" s="1" t="str">
        <f t="shared" si="3"/>
        <v>Cravotta, C.A. III, Brady, K.B.C., Gustafson-Minnich, L.C., DiMatteo, M.R. (1994) Geochemical and geohydrological characteristics of bedrock and mine spoil from two methods of mining at a reclaimed surface coal mine in Clarion County, PA, USA: U.S. Bureau of Mines Special Publication SP 06B, 242-249. (http://www.techtransfer.osmre.gov/NTTMainSite/Library/proceed/intl1994/vol2part5.pdf)</v>
      </c>
    </row>
    <row r="129" spans="1:7" x14ac:dyDescent="0.2">
      <c r="A129" s="5">
        <f t="shared" si="4"/>
        <v>7</v>
      </c>
      <c r="B129" s="1" t="s">
        <v>483</v>
      </c>
      <c r="C129" s="1">
        <v>1994</v>
      </c>
      <c r="D129" s="1" t="s">
        <v>116</v>
      </c>
      <c r="E129" s="1" t="s">
        <v>484</v>
      </c>
      <c r="F129" s="6" t="s">
        <v>24</v>
      </c>
      <c r="G129" s="1" t="str">
        <f t="shared" si="3"/>
        <v>Cravotta, C.A. III, Dugas, D.L., Brady, K.B.C., Kovalchuk, T.E. (1994) Effects of selective handling of pyritic, acid-forming materials on the chemistry of pore gas and ground water at a reclaimed surface coal mine in Clarion County, PA, USA: U.S. Bureau of Mines Special Publication SP 06A, 365-374. (http://www.techtransfer.osmre.gov/NTTMainSite/Library/proceed/intl1994/vol1part8.pdf)</v>
      </c>
    </row>
    <row r="130" spans="1:7" x14ac:dyDescent="0.2">
      <c r="A130" s="5">
        <f t="shared" si="4"/>
        <v>6</v>
      </c>
      <c r="B130" s="2" t="s">
        <v>485</v>
      </c>
      <c r="C130" s="2">
        <v>1993</v>
      </c>
      <c r="D130" s="2" t="s">
        <v>117</v>
      </c>
      <c r="E130" s="2" t="s">
        <v>12</v>
      </c>
      <c r="F130" s="6" t="s">
        <v>214</v>
      </c>
      <c r="G130" s="1" t="str">
        <f t="shared" si="3"/>
        <v>Dugas, D.L., Cravotta, C.A. III, Saad, D.A. (1993) Water-quality data for two surface coal mines reclaimed with alkaline waste or urban sewage sludge, Clarion County, Pennsylvania, May 1983 through November 1989: U.S. Geological Survey Open-File Report 93-115, 153 p. (https://doi.org/10.3133/ofr93115)</v>
      </c>
    </row>
    <row r="131" spans="1:7" x14ac:dyDescent="0.2">
      <c r="A131" s="5">
        <f t="shared" si="4"/>
        <v>5</v>
      </c>
      <c r="B131" s="1" t="s">
        <v>486</v>
      </c>
      <c r="C131" s="1">
        <v>1992</v>
      </c>
      <c r="D131" s="1" t="s">
        <v>118</v>
      </c>
      <c r="E131" s="1" t="s">
        <v>13</v>
      </c>
      <c r="F131" s="6" t="s">
        <v>18</v>
      </c>
      <c r="G131" s="1" t="str">
        <f t="shared" ref="G131:G135" si="5">CONCATENATE(B131," (",C131,") ",D131,": ",E131," (",F131,")")</f>
        <v>Brady, K.B.C., Cravotta, C.A. III  (1992) Acid base accounting--An improved method of interpreting overburden chemistry to predict the quality of coal-mine drainage: Proceedings 13th Annual Meeting West Virginia Surface Mine Drainage Task Force: Morgantown, W.Va., West Virginia University, 10 p.  (http://wvmdtaskforce.com/proceedings/92/92BRA/92BRA.HTM)</v>
      </c>
    </row>
    <row r="132" spans="1:7" x14ac:dyDescent="0.2">
      <c r="A132" s="5">
        <f t="shared" si="4"/>
        <v>4</v>
      </c>
      <c r="B132" s="1" t="s">
        <v>66</v>
      </c>
      <c r="C132" s="1">
        <v>1991</v>
      </c>
      <c r="D132" s="1" t="s">
        <v>119</v>
      </c>
      <c r="E132" s="1" t="s">
        <v>487</v>
      </c>
      <c r="F132" s="6" t="s">
        <v>19</v>
      </c>
      <c r="G132" s="1" t="str">
        <f t="shared" si="5"/>
        <v>Cravotta, C.A. III  (1991) Geochemical evolution of acidic ground water at a reclaimed surface coal mine in western Pennsylvania: Proceedings 1991 National Meeting of the American Society for Surface Mining and Reclamation, May 14-17, 1991, Durango, Co.: American Society for Surface Mining and Reclamation, 43-68.  (http://www.techtransfer.osmre.gov/NTTMainSite/Library/proceed/asmr91/session2.pdf)</v>
      </c>
    </row>
    <row r="133" spans="1:7" x14ac:dyDescent="0.2">
      <c r="A133" s="5">
        <f t="shared" si="4"/>
        <v>3</v>
      </c>
      <c r="B133" s="1" t="s">
        <v>488</v>
      </c>
      <c r="C133" s="1">
        <v>1990</v>
      </c>
      <c r="D133" s="1" t="s">
        <v>120</v>
      </c>
      <c r="E133" s="1" t="s">
        <v>489</v>
      </c>
      <c r="F133" s="6" t="s">
        <v>20</v>
      </c>
      <c r="G133" s="1" t="str">
        <f t="shared" si="5"/>
        <v>Brady, K.B.C., Smith, M.W., Beam, R.L., Cravotta, C.A. III  (1990) Effectiveness of the addition of alkaline materials at surface coal mines in preventing or abating acid mine drainage--Part 2. Mine site case studies: Proceedings 1990 Mining and Reclamation Conference and Exhibition: Morgantown, W.V., West Virginia University 1, 226-241.  (http://www.techtransfer.osmre.gov/NTTMainSite/Library/proceed/1990Proceed/vol1section7.pdf)</v>
      </c>
    </row>
    <row r="134" spans="1:7" x14ac:dyDescent="0.2">
      <c r="A134" s="5">
        <f>1+A135</f>
        <v>2</v>
      </c>
      <c r="B134" s="1" t="s">
        <v>490</v>
      </c>
      <c r="C134" s="1">
        <v>1990</v>
      </c>
      <c r="D134" s="1" t="s">
        <v>121</v>
      </c>
      <c r="E134" s="1" t="s">
        <v>491</v>
      </c>
      <c r="F134" s="6" t="s">
        <v>20</v>
      </c>
      <c r="G134" s="1" t="str">
        <f t="shared" si="5"/>
        <v>Cravotta, C.A. III, Brady, K.B.C., Smith, M.W., Beam, R.L. (1990) Effectiveness of the addition of alkaline materials at surface coal mines in preventing or abating acid mine drainage--Part 1. Geochemical considerations: Proceedings 1990 Mining and Reclamation Conference and Exhibition: Morgantown, W.V., West Virginia University 1, 221-225.  (http://www.techtransfer.osmre.gov/NTTMainSite/Library/proceed/1990Proceed/vol1section7.pdf)</v>
      </c>
    </row>
    <row r="135" spans="1:7" x14ac:dyDescent="0.2">
      <c r="A135" s="5">
        <v>1</v>
      </c>
      <c r="B135" s="1" t="s">
        <v>66</v>
      </c>
      <c r="C135" s="1">
        <v>1988</v>
      </c>
      <c r="D135" s="1" t="s">
        <v>122</v>
      </c>
      <c r="E135" s="1" t="s">
        <v>492</v>
      </c>
      <c r="G135" s="1" t="str">
        <f t="shared" si="5"/>
        <v>Cravotta, C.A. III  (1988) A mass-balance approach for interpreting the chemical composition of a conduit spring in Blair County, Pennsylvania: Proceedings Ground Water Geochemistry Conference: Dublin, Ohio, National Water Well Association, 103-126. ()</v>
      </c>
    </row>
  </sheetData>
  <sortState xmlns:xlrd2="http://schemas.microsoft.com/office/spreadsheetml/2017/richdata2" ref="I49:N106">
    <sortCondition descending="1" ref="J49:J106"/>
    <sortCondition ref="I49:I106"/>
  </sortState>
  <hyperlinks>
    <hyperlink ref="F78" r:id="rId1" xr:uid="{9C14ED5A-610C-4913-A38E-DE44C30EB937}"/>
    <hyperlink ref="F77" r:id="rId2" display="http://dx.doi.org/10.1007/s10230-010-0112-6" xr:uid="{2AE89069-77A5-4D6A-8F9A-FF7C93B08CE1}"/>
    <hyperlink ref="F76" r:id="rId3" display="http://dx.doi.org/10.1007/s10230-010-0113-5" xr:uid="{CCA7A86F-8E82-4CDC-B948-BFD731DCCE8B}"/>
    <hyperlink ref="F81" r:id="rId4" xr:uid="{7AF6A13C-BDBB-4BCE-AF1E-2C14DA59DF2E}"/>
    <hyperlink ref="F84" r:id="rId5" display="http://dx.doi.org/10.1016/j.apgeochem.2008.07.015. " xr:uid="{71EB9AB0-4CE4-49F6-A5B4-E0FED3D8599C}"/>
    <hyperlink ref="F86" r:id="rId6" display="http://dx.doi.org/10.1007/s10230-008-0029-5. " xr:uid="{796C791C-6C07-4545-9247-A4ABD9A59D13}"/>
    <hyperlink ref="F87" r:id="rId7" display="http://dx.doi.org/10.1007/s10230-008-0031-y. " xr:uid="{BC8ED024-2CA4-43FB-958F-BD921E4CB851}"/>
    <hyperlink ref="F82" r:id="rId8" display="http://dx.doi.org/10.1016/j.apgeochem.2007.10.011." xr:uid="{E72F2A88-0378-4590-9827-5C27848D0CF0}"/>
    <hyperlink ref="F83" r:id="rId9" display="http://dx.doi.org/10.1016/j.apgeochem.2007.10.003." xr:uid="{B8C60E10-8011-4CC9-9A6A-845DF5BDEBE8}"/>
    <hyperlink ref="F89" r:id="rId10" display="http://dx.doi.org/10.1007/s10230-007-0002-8" xr:uid="{36F3511C-BAF6-4B9D-8F71-ABA4846B2AFD}"/>
    <hyperlink ref="F95" r:id="rId11" display="http://dx.doi.org/10.1016/j.apgeochem.2005.07.002" xr:uid="{0E83530E-13B5-43BC-B3D9-FB4E9BF4B291}"/>
    <hyperlink ref="F96" r:id="rId12" display="http://dx.doi.org/10.1016/j.apgeochem.2005.07.003" xr:uid="{BFECBB3F-8A54-48FF-A030-346B989F6213}"/>
    <hyperlink ref="F102" r:id="rId13" display="http://dx.doi.org/10.1016/B978-012513563-4/50006-2" xr:uid="{F6C7E8CD-EA95-4043-B110-D52183C797EB}"/>
    <hyperlink ref="F105" r:id="rId14" display="http://dx.doi.org/10.1016/S0883-29270200019-7" xr:uid="{1C611622-3369-462D-8AC4-9FB7D24FC609}"/>
    <hyperlink ref="F112" r:id="rId15" display="http://dx.doi.org/10.1016/S0883-29279800066-3 " xr:uid="{7BB279FC-BD9B-4932-853F-8E8D89E86D72}"/>
    <hyperlink ref="F115" r:id="rId16" display="http://dx.doi.org/10.1016/S0016-23619800147-1" xr:uid="{92E433EA-CDFB-41E0-A5C3-A9568B76CA00}"/>
    <hyperlink ref="F117" r:id="rId17" xr:uid="{F80147E6-05B9-4EFF-9699-5D5592CFD785}"/>
    <hyperlink ref="F116" r:id="rId18" xr:uid="{EFC25EFA-7290-45A9-913B-798ECFDC89EB}"/>
    <hyperlink ref="F125" r:id="rId19" xr:uid="{41FB9896-B5C3-4247-AE54-A4985EC6E43E}"/>
    <hyperlink ref="F127" r:id="rId20" xr:uid="{B0E038EC-E549-41CC-815F-0BEE79CAE161}"/>
    <hyperlink ref="F128" r:id="rId21" xr:uid="{A004F05E-D1F1-4469-AC3B-9167782A38EE}"/>
    <hyperlink ref="F129" r:id="rId22" xr:uid="{264E24EC-C943-4AA3-860E-6D0452FD5709}"/>
    <hyperlink ref="F132" r:id="rId23" xr:uid="{A5A1CEC2-B5CB-467C-80FF-74D475FE515F}"/>
    <hyperlink ref="F134" r:id="rId24" xr:uid="{50611D5F-E104-4CD2-8CA7-C0F1F67D4A5B}"/>
    <hyperlink ref="F133" r:id="rId25" xr:uid="{A85D1A04-E5BB-48AD-97B8-6140D3D49BF7}"/>
    <hyperlink ref="F93" r:id="rId26" display="http://onlinelibrary.wiley.com/doi/10.1111/j.1745-6584.2005.0037.x/pdf" xr:uid="{E2EA9168-F324-4C1C-AA65-BFB261306141}"/>
    <hyperlink ref="F79" r:id="rId27" xr:uid="{E5C39C99-EB1E-4D0C-A70E-03640700450E}"/>
    <hyperlink ref="F85" r:id="rId28" display="http://www.asmr.us/Publications/Conference Proceedings/2008/0223-Cravotta-PA.pdf" xr:uid="{7693EFF8-A815-4BC9-A109-5BC1C29E9482}"/>
    <hyperlink ref="F90" r:id="rId29" display="http://www.asmr.us/Publications/Conference Proceedings/2006/0378-Cravotta-PA.pdf" xr:uid="{8B2839C3-88EC-4585-ABCE-A8D7D7818120}"/>
    <hyperlink ref="F99" r:id="rId30" display="http://www.asmr.us/Publications/Conference Proceedings/2004/0366-Cravotta PA-2.pdf" xr:uid="{671BF959-6510-43E7-AF5C-48F3A63ED017}"/>
    <hyperlink ref="F97" r:id="rId31" display="http://www.asmr.us/Publications/Conference Proceedings/2004/0334-Cravotta PA-1.pdf" xr:uid="{852F8C28-8099-4691-862E-36DB39318E56}"/>
    <hyperlink ref="F100" r:id="rId32" display="http://www.asmr.us/Publications/Conference Proceedings/2004/1076-Kirby PA.pdf" xr:uid="{6707F98E-2122-4869-9391-1585D068D90E}"/>
    <hyperlink ref="F103" r:id="rId33" display="http://www.asmr.us/Publications/Conference Proceedings/2002/1062 Cravotta.pdf" xr:uid="{F14A274A-F9FC-4301-9614-E834A5E8B604}"/>
    <hyperlink ref="F104" r:id="rId34" display="http://www.asmr.us/Publications/Conference Proceedings/2002/1059 Cravotta.pdf" xr:uid="{E3E392E8-ACE0-45D2-8C34-2D4755AFD21D}"/>
    <hyperlink ref="F123" r:id="rId35" xr:uid="{A5903E29-5DE6-442B-A1D6-53E3683A4F0A}"/>
    <hyperlink ref="F74" r:id="rId36" display="http://pubs.usgs.gov/sir/2010/5261/" xr:uid="{17EF1330-F924-4CC8-8343-F44A34BBB7E9}"/>
    <hyperlink ref="F73" r:id="rId37" xr:uid="{455A2EB5-CC5D-474F-8D16-B229D27D1A4E}"/>
    <hyperlink ref="F72" r:id="rId38" display="http://dx.doi.org/10.1016/j.chemgeo.2011.06.013" xr:uid="{E518DA11-7A62-4FF3-BBF5-5FB2FFCE4A7D}"/>
    <hyperlink ref="F80" r:id="rId39" xr:uid="{3A357306-2490-4194-A996-526D1E6C3D99}"/>
    <hyperlink ref="F71" r:id="rId40" display="http://dx.doi.org/10.1016/j.apgeochem.2012.07.017" xr:uid="{B620CDB1-9E31-4933-8677-6DDAF82602D8}"/>
    <hyperlink ref="F70" r:id="rId41" display="http://dx.doi.org/10.1002/hyp.9297" xr:uid="{35C4AC31-A263-4B3D-ADC3-A64CD0EE745E}"/>
    <hyperlink ref="F69" r:id="rId42" display="http://dx.doi.org/10.1016/j.jhazmat.2012.11.004" xr:uid="{38748E85-FE26-4239-95D3-27665F9D13E6}"/>
    <hyperlink ref="F68" r:id="rId43" xr:uid="{EE7863E7-A481-40F7-B0EF-F6515E996E20}"/>
    <hyperlink ref="F67" r:id="rId44" xr:uid="{39F2E892-EDFF-472D-B82C-B12CE7429EA8}"/>
    <hyperlink ref="F66" r:id="rId45" display="http://pubs.usgs.gov/sir/2013/5072/" xr:uid="{36CE4346-44C0-436F-A75D-F43435357861}"/>
    <hyperlink ref="F65" r:id="rId46" display="http://dx.doi.org/10.1002/hyp.9885" xr:uid="{A89FE20E-0AAF-4AFB-97CF-A163FD5A79C8}"/>
    <hyperlink ref="F62" r:id="rId47" display="http://dx.doi.org/10.1007/s10230-014-0292-6" xr:uid="{87E3D271-DA40-4860-9D2E-07ACD26EE440}"/>
    <hyperlink ref="F64" r:id="rId48" display="http://dx.doi.org/10.3133/cir1354" xr:uid="{F64FA620-7BAD-46C8-A817-EFEB7722EC75}"/>
    <hyperlink ref="F63" r:id="rId49" display="http://dx.doi.org/10.1016/j.epsl.2014.06.045" xr:uid="{F1CF35F1-2709-4E0F-9338-BE61776BD2B3}"/>
    <hyperlink ref="F61" r:id="rId50" display="http://dx.doi.org/10.1016/j.apgeochem.2015.02.009" xr:uid="{23016C71-BA5D-49A7-9178-ED19FD66BC4B}"/>
    <hyperlink ref="F60" r:id="rId51" display="http://dx.doi.org/10.1016/j.apgeochem.2015.02.010" xr:uid="{429884D5-4E15-4279-8F25-16536D40CDC7}"/>
    <hyperlink ref="F58" r:id="rId52" display="http://dx.doi.org/10.1081/E-ESS-120001582" xr:uid="{D87E10BE-1169-4C84-B2E4-95D4D6F9A112}"/>
    <hyperlink ref="F59" r:id="rId53" display="http://dx.doi.org/10.1016/j.apgeochem.2015.03.001" xr:uid="{53049932-2253-4B84-9C8E-A5A7FFB1BF99}"/>
    <hyperlink ref="F55" r:id="rId54" display="http://dx.doi.org/10.1080/01490451.2016.1204376" xr:uid="{1ED099F7-2C00-4889-9346-7D8C16003E76}"/>
    <hyperlink ref="F56" r:id="rId55" display="http://dx.doi.org/10.3133/sir20165143" xr:uid="{D307D202-5D23-48AE-A77C-1FFCE85E4E7B}"/>
    <hyperlink ref="F52" r:id="rId56" display="http://dx.doi.org/10.3133/sir20175110" xr:uid="{6137389F-AC9C-4D26-9538-0C37FB09EDD3}"/>
    <hyperlink ref="F53" r:id="rId57" display="http://dx.doi.org/10.2113/EEG-1905" xr:uid="{3D39D297-0162-4310-869F-6A264CAC61C2}"/>
    <hyperlink ref="F54" r:id="rId58" display="http://dx.doi.org/10.1016/j.apgeochem.2016.12.019" xr:uid="{FEEFD3E9-AAC9-485B-A5BE-108505F22784}"/>
    <hyperlink ref="F49" r:id="rId59" xr:uid="{1C4550E8-CD82-442E-937F-1C0B52E0133B}"/>
    <hyperlink ref="F44" r:id="rId60" xr:uid="{7A478BAC-FB2A-4199-B9DE-B27BC9C33926}"/>
    <hyperlink ref="F42" r:id="rId61" xr:uid="{04CD6342-11F7-44BD-BDEE-F0993BF5ACC0}"/>
    <hyperlink ref="F101" r:id="rId62" xr:uid="{F27FE7A1-5A08-4185-8AD1-08EC63E30923}"/>
    <hyperlink ref="F106" r:id="rId63" xr:uid="{342DF0A6-F9FA-42EF-B6F5-189224DEF7CE}"/>
    <hyperlink ref="F108" r:id="rId64" xr:uid="{6A2B1C77-A91B-4A38-AA29-C3E9FE12D573}"/>
    <hyperlink ref="F109" r:id="rId65" xr:uid="{5B13F38D-E753-4292-A00A-E2FFF341516D}"/>
    <hyperlink ref="F38" r:id="rId66" xr:uid="{AA8C88CB-5A3E-42F8-B165-7AB81D0CCC1B}"/>
    <hyperlink ref="F39" r:id="rId67" xr:uid="{6F45B1E0-ED3C-40A0-8B58-62AE614FCB3C}"/>
    <hyperlink ref="F34" r:id="rId68" xr:uid="{3FCF1B7B-71C4-4F04-99DE-7A3EC3D8979D}"/>
    <hyperlink ref="F35" r:id="rId69" xr:uid="{556B3784-4079-40BF-8C9A-06DD71C4B398}"/>
    <hyperlink ref="F33" r:id="rId70" xr:uid="{84012430-B0C1-4A73-B5AA-9BD828040550}"/>
    <hyperlink ref="F32" r:id="rId71" xr:uid="{E06EB730-8452-48D3-A44A-719118CC54E6}"/>
    <hyperlink ref="F131" r:id="rId72" xr:uid="{7A251B58-FAE0-42B4-A289-6E0FC3FE8EB6}"/>
    <hyperlink ref="F30" r:id="rId73" xr:uid="{CA7432E2-1A7D-4985-A7F4-749263375F16}"/>
    <hyperlink ref="F28" r:id="rId74" xr:uid="{225B8C1C-30C1-4DBF-BF28-3E641B8B62B9}"/>
    <hyperlink ref="F27" r:id="rId75" tooltip="DOI URL" xr:uid="{3BA21803-A33F-44FB-BFF3-6023E7EBD4E4}"/>
    <hyperlink ref="F26" r:id="rId76" xr:uid="{236805F4-11F3-4F90-A585-67450F953381}"/>
    <hyperlink ref="F113" r:id="rId77" xr:uid="{5B9B55E1-DC95-4582-A1D8-804F65CE4C50}"/>
    <hyperlink ref="F18" r:id="rId78" xr:uid="{3B10FD57-606D-4FFD-95A5-095829283AC8}"/>
    <hyperlink ref="F16" r:id="rId79" xr:uid="{F86D4C1E-5AF7-4E66-8F74-D40F1803B40E}"/>
    <hyperlink ref="F15" r:id="rId80" xr:uid="{0B34F28C-FFC0-4301-8EC6-EC0D795B137E}"/>
    <hyperlink ref="F17" r:id="rId81" xr:uid="{3FD194BA-6722-40E9-9811-38BEC24B5753}"/>
    <hyperlink ref="F19" r:id="rId82" display="https://doi.org/10.5066/P9157D7U " xr:uid="{B9FB9FAC-E0E5-40CD-88A3-90FEEC188764}"/>
    <hyperlink ref="F14" r:id="rId83" xr:uid="{5BAD7F24-C6A9-40FC-9020-2C0BB9A8BC76}"/>
    <hyperlink ref="F7" r:id="rId84" xr:uid="{C7FC477C-BCD1-4561-8160-F8462CBFEE72}"/>
    <hyperlink ref="F6" r:id="rId85" xr:uid="{70ED6EEC-B430-401F-ADAD-3A0F9443B7B2}"/>
    <hyperlink ref="F5" r:id="rId86" xr:uid="{C753908E-1F7B-468C-B6BE-2B1272716149}"/>
    <hyperlink ref="F9" r:id="rId87" xr:uid="{7077BA07-2CCE-4B6C-ADE8-68695CD6F477}"/>
    <hyperlink ref="F10" r:id="rId88" xr:uid="{B2B23829-7875-47E6-8252-EE0F1E47A27E}"/>
    <hyperlink ref="F11" r:id="rId89" xr:uid="{BC158698-C4CE-4BB5-B328-3CD973320D1D}"/>
    <hyperlink ref="F12" r:id="rId90" xr:uid="{9B9D18F5-9AA4-47C8-A023-3C53DAED28D1}"/>
    <hyperlink ref="F13" r:id="rId91" xr:uid="{CC56306A-5721-42FA-9EB0-C874E61D902E}"/>
    <hyperlink ref="F8" r:id="rId92" xr:uid="{A9A35C8A-46CD-4065-B61D-413335B87DA1}"/>
  </hyperlinks>
  <pageMargins left="0.7" right="0.7" top="0.75" bottom="0.75" header="0.3" footer="0.3"/>
  <pageSetup orientation="portrait" r:id="rId9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CGC_projects</vt:lpstr>
      <vt:lpstr>CGC_news</vt:lpstr>
      <vt:lpstr>Cravotta_biblio2026</vt:lpstr>
      <vt:lpstr>Papers_reports</vt:lpstr>
      <vt:lpstr>Papers_reports!OLE_LINK1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A Cravotta</dc:creator>
  <cp:lastModifiedBy>Paige DiGirolamo</cp:lastModifiedBy>
  <cp:lastPrinted>2025-05-14T15:48:04Z</cp:lastPrinted>
  <dcterms:created xsi:type="dcterms:W3CDTF">2010-10-12T19:33:34Z</dcterms:created>
  <dcterms:modified xsi:type="dcterms:W3CDTF">2026-04-01T15:11:12Z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2026-04-01T15:11:12Z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331fdea4-0abb-4f29-9382-8872b4441340</vt:lpwstr>
  </property>
  <property fmtid="{D5CDD505-2E9C-101B-9397-08002B2CF9AE}" pid="8" name="MSIP_Label_a73fd474-4f3c-44ed-88fb-5cc4bd2471bf_ContentBits">
    <vt:lpwstr>0</vt:lpwstr>
  </property>
  <property fmtid="{D5CDD505-2E9C-101B-9397-08002B2CF9AE}" pid="9" name="MSIP_Label_a73fd474-4f3c-44ed-88fb-5cc4bd2471bf_Tag">
    <vt:lpwstr>50, 3, 0, 1</vt:lpwstr>
  </property>
</Properties>
</file>